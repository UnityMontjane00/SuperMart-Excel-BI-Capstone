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1D8674D-6F62-4D34-856A-8B7DFBB491CA}" xr6:coauthVersionLast="47" xr6:coauthVersionMax="47" xr10:uidLastSave="{00000000-0000-0000-0000-000000000000}"/>
  <bookViews>
    <workbookView xWindow="-110" yWindow="-110" windowWidth="19420" windowHeight="10300" firstSheet="1" activeTab="4" xr2:uid="{00000000-000D-0000-FFFF-FFFF00000000}"/>
  </bookViews>
  <sheets>
    <sheet name="Pivot 1_RevenueProfit" sheetId="8" r:id="rId1"/>
    <sheet name="Pivot2_CategoryProfit" sheetId="9" r:id="rId2"/>
    <sheet name="Pivot_Classification" sheetId="10" r:id="rId3"/>
    <sheet name="Pivot4_" sheetId="11" r:id="rId4"/>
    <sheet name="Dashboard" sheetId="12" r:id="rId5"/>
    <sheet name="Pivot_Top 5Products" sheetId="18" r:id="rId6"/>
    <sheet name="Sales_All" sheetId="1" r:id="rId7"/>
    <sheet name="Operations_Data" sheetId="4" r:id="rId8"/>
    <sheet name="Region_Summary" sheetId="6" r:id="rId9"/>
    <sheet name="Finance_Data" sheetId="3" r:id="rId10"/>
    <sheet name="Product_List" sheetId="5" r:id="rId11"/>
    <sheet name="Sheet1" sheetId="13" r:id="rId12"/>
    <sheet name="Customer_List" sheetId="2" r:id="rId13"/>
    <sheet name="Summary" sheetId="7" r:id="rId14"/>
  </sheets>
  <definedNames>
    <definedName name="_xlchart.v1.0" hidden="1">'Pivot_Top 5Products'!$D$5:$D$9</definedName>
    <definedName name="_xlchart.v1.1" hidden="1">'Pivot_Top 5Products'!$E$4</definedName>
    <definedName name="_xlchart.v1.10" hidden="1">'Pivot_Top 5Products'!$E$4</definedName>
    <definedName name="_xlchart.v1.11" hidden="1">'Pivot_Top 5Products'!$E$5:$E$9</definedName>
    <definedName name="_xlchart.v1.12" hidden="1">'Pivot_Top 5Products'!$D$5:$D$9</definedName>
    <definedName name="_xlchart.v1.13" hidden="1">'Pivot_Top 5Products'!$E$4</definedName>
    <definedName name="_xlchart.v1.14" hidden="1">'Pivot_Top 5Products'!$E$5:$E$9</definedName>
    <definedName name="_xlchart.v1.2" hidden="1">'Pivot_Top 5Products'!$E$5:$E$9</definedName>
    <definedName name="_xlchart.v1.3" hidden="1">'Pivot_Top 5Products'!$D$5:$D$9</definedName>
    <definedName name="_xlchart.v1.4" hidden="1">'Pivot_Top 5Products'!$E$4</definedName>
    <definedName name="_xlchart.v1.5" hidden="1">'Pivot_Top 5Products'!$E$5:$E$9</definedName>
    <definedName name="_xlchart.v1.6" hidden="1">'Pivot_Top 5Products'!$D$5:$D$9</definedName>
    <definedName name="_xlchart.v1.7" hidden="1">'Pivot_Top 5Products'!$E$4</definedName>
    <definedName name="_xlchart.v1.8" hidden="1">'Pivot_Top 5Products'!$E$5:$E$9</definedName>
    <definedName name="_xlchart.v1.9" hidden="1">'Pivot_Top 5Products'!$D$5:$D$9</definedName>
    <definedName name="Accessories">Product_List!$A$5:$A$5</definedName>
    <definedName name="Electronic">Product_List!$A$1:$A$7</definedName>
    <definedName name="NativeTimeline_Date">#N/A</definedName>
    <definedName name="Office">Product_List!$A$7:$A$7</definedName>
    <definedName name="ProductCategories">OFFSET(Product_List!$B$1,1,0,COUNTA(Product_List!$B:$B)-1,1)</definedName>
    <definedName name="Slicer__Product_Category">#N/A</definedName>
    <definedName name="Slicer_Region">#N/A</definedName>
  </definedNames>
  <calcPr calcId="191028"/>
  <pivotCaches>
    <pivotCache cacheId="2" r:id="rId15"/>
    <pivotCache cacheId="6"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2" i="12" l="1"/>
  <c r="E4" i="3"/>
  <c r="E5" i="3"/>
  <c r="E6" i="3"/>
  <c r="E7" i="3"/>
  <c r="E8" i="3"/>
  <c r="E9" i="3"/>
  <c r="E10" i="3"/>
  <c r="E11" i="3"/>
  <c r="E3" i="3"/>
  <c r="C2" i="12"/>
  <c r="B2" i="12"/>
  <c r="A2" i="12"/>
  <c r="U2" i="1"/>
  <c r="U3" i="1"/>
  <c r="U4" i="1"/>
  <c r="U5" i="1"/>
  <c r="H2" i="1"/>
  <c r="I2" i="1"/>
  <c r="J2" i="1"/>
  <c r="K2" i="1"/>
  <c r="L2" i="1"/>
  <c r="M2" i="1"/>
  <c r="N2" i="1"/>
  <c r="O2" i="1"/>
  <c r="P2" i="1"/>
  <c r="Q2" i="1"/>
  <c r="R2" i="1"/>
  <c r="S2" i="1" a="1"/>
  <c r="S2" i="1"/>
  <c r="T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F4" i="2" a="1"/>
  <c r="F4" i="2"/>
  <c r="F6" i="2" a="1"/>
  <c r="F6" i="2"/>
  <c r="F8" i="2" a="1"/>
  <c r="F8" i="2"/>
  <c r="F10" i="2" a="1"/>
  <c r="F10" i="2"/>
  <c r="F12" i="2" a="1"/>
  <c r="F12" i="2"/>
  <c r="F14" i="2" a="1"/>
  <c r="F14" i="2"/>
  <c r="F16" i="2" a="1"/>
  <c r="F16" i="2"/>
  <c r="F18" i="2" a="1"/>
  <c r="F18" i="2"/>
  <c r="F20" i="2" a="1"/>
  <c r="F20" i="2"/>
  <c r="F22" i="2" a="1"/>
  <c r="F22" i="2"/>
  <c r="F24" i="2" a="1"/>
  <c r="F24" i="2"/>
  <c r="F26" i="2" a="1"/>
  <c r="F26" i="2"/>
  <c r="F28" i="2" a="1"/>
  <c r="F28" i="2"/>
  <c r="F2" i="2" a="1"/>
  <c r="F2" i="2" s="1"/>
  <c r="A2" i="6" a="1"/>
  <c r="T9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K62" i="1"/>
  <c r="K63" i="1"/>
  <c r="L63" i="1" s="1"/>
  <c r="K64" i="1"/>
  <c r="L64" i="1" s="1"/>
  <c r="K65" i="1"/>
  <c r="K66" i="1"/>
  <c r="L66" i="1" s="1"/>
  <c r="K67" i="1"/>
  <c r="L67" i="1" s="1"/>
  <c r="K68" i="1"/>
  <c r="K69" i="1"/>
  <c r="L69" i="1" s="1"/>
  <c r="K70" i="1"/>
  <c r="L70" i="1" s="1"/>
  <c r="K71" i="1"/>
  <c r="K72" i="1"/>
  <c r="L72" i="1" s="1"/>
  <c r="K73" i="1"/>
  <c r="L73" i="1" s="1"/>
  <c r="K74" i="1"/>
  <c r="K75" i="1"/>
  <c r="L75" i="1" s="1"/>
  <c r="K76" i="1"/>
  <c r="L76" i="1" s="1"/>
  <c r="K77" i="1"/>
  <c r="K78" i="1"/>
  <c r="L78" i="1" s="1"/>
  <c r="K79" i="1"/>
  <c r="L79" i="1" s="1"/>
  <c r="K80" i="1"/>
  <c r="K81" i="1"/>
  <c r="L81" i="1" s="1"/>
  <c r="K82" i="1"/>
  <c r="L82" i="1" s="1"/>
  <c r="K83" i="1"/>
  <c r="K84" i="1"/>
  <c r="L84" i="1" s="1"/>
  <c r="K85" i="1"/>
  <c r="L85" i="1" s="1"/>
  <c r="K86" i="1"/>
  <c r="K87" i="1"/>
  <c r="L87" i="1" s="1"/>
  <c r="K88" i="1"/>
  <c r="L88" i="1" s="1"/>
  <c r="K89" i="1"/>
  <c r="K90" i="1"/>
  <c r="L90" i="1" s="1"/>
  <c r="K91" i="1"/>
  <c r="L91" i="1" s="1"/>
  <c r="K3" i="1"/>
  <c r="K4" i="1"/>
  <c r="K5" i="1"/>
  <c r="L5" i="1" s="1"/>
  <c r="K6" i="1"/>
  <c r="K7" i="1"/>
  <c r="K8" i="1"/>
  <c r="K9" i="1"/>
  <c r="K10" i="1"/>
  <c r="K11" i="1"/>
  <c r="K12" i="1"/>
  <c r="K13" i="1"/>
  <c r="K14" i="1"/>
  <c r="K15" i="1"/>
  <c r="L15" i="1" s="1"/>
  <c r="K16" i="1"/>
  <c r="L16" i="1" s="1"/>
  <c r="K17" i="1"/>
  <c r="K18" i="1"/>
  <c r="K19" i="1"/>
  <c r="K20" i="1"/>
  <c r="L20" i="1" s="1"/>
  <c r="K21" i="1"/>
  <c r="L21" i="1" s="1"/>
  <c r="K22" i="1"/>
  <c r="L22" i="1" s="1"/>
  <c r="K23" i="1"/>
  <c r="L23" i="1" s="1"/>
  <c r="K24" i="1"/>
  <c r="K25" i="1"/>
  <c r="K26" i="1"/>
  <c r="K27" i="1"/>
  <c r="L27" i="1" s="1"/>
  <c r="K28" i="1"/>
  <c r="L28" i="1" s="1"/>
  <c r="K29" i="1"/>
  <c r="L29" i="1" s="1"/>
  <c r="K30" i="1"/>
  <c r="K31" i="1"/>
  <c r="L31" i="1" s="1"/>
  <c r="K32" i="1"/>
  <c r="L32" i="1" s="1"/>
  <c r="K33" i="1"/>
  <c r="L33" i="1" s="1"/>
  <c r="K34" i="1"/>
  <c r="L34" i="1" s="1"/>
  <c r="K35" i="1"/>
  <c r="L35" i="1" s="1"/>
  <c r="K36" i="1"/>
  <c r="L36" i="1" s="1"/>
  <c r="K37" i="1"/>
  <c r="L37" i="1" s="1"/>
  <c r="K38" i="1"/>
  <c r="L38" i="1" s="1"/>
  <c r="K39" i="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K57" i="1"/>
  <c r="L57" i="1" s="1"/>
  <c r="K58" i="1"/>
  <c r="L58" i="1" s="1"/>
  <c r="K59" i="1"/>
  <c r="L59" i="1" s="1"/>
  <c r="K60" i="1"/>
  <c r="L60" i="1" s="1"/>
  <c r="K61" i="1"/>
  <c r="L61" i="1" s="1"/>
  <c r="H3" i="2"/>
  <c r="H4" i="2"/>
  <c r="H5" i="2"/>
  <c r="H6" i="2"/>
  <c r="H7" i="2"/>
  <c r="H8" i="2"/>
  <c r="H9" i="2"/>
  <c r="H10" i="2"/>
  <c r="H11" i="2"/>
  <c r="H12" i="2"/>
  <c r="H13" i="2"/>
  <c r="H14" i="2"/>
  <c r="H15" i="2"/>
  <c r="H16" i="2"/>
  <c r="H17" i="2"/>
  <c r="H18" i="2"/>
  <c r="H19" i="2"/>
  <c r="H20" i="2"/>
  <c r="H21" i="2"/>
  <c r="H22" i="2"/>
  <c r="H23" i="2"/>
  <c r="H24" i="2"/>
  <c r="H25" i="2"/>
  <c r="H26" i="2"/>
  <c r="H27" i="2"/>
  <c r="H28" i="2"/>
  <c r="H29"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2" i="2"/>
  <c r="D29" i="2"/>
  <c r="D3" i="2"/>
  <c r="D4" i="2"/>
  <c r="D5" i="2"/>
  <c r="D6" i="2"/>
  <c r="D7" i="2"/>
  <c r="D8" i="2"/>
  <c r="D9" i="2"/>
  <c r="D10" i="2"/>
  <c r="D11" i="2"/>
  <c r="D12" i="2"/>
  <c r="D13" i="2"/>
  <c r="D14" i="2"/>
  <c r="D15" i="2"/>
  <c r="D16" i="2"/>
  <c r="D17" i="2"/>
  <c r="D18" i="2"/>
  <c r="D19" i="2"/>
  <c r="D20" i="2"/>
  <c r="D21" i="2"/>
  <c r="D22" i="2"/>
  <c r="D23" i="2"/>
  <c r="D24" i="2"/>
  <c r="D25" i="2"/>
  <c r="D26" i="2"/>
  <c r="D27" i="2"/>
  <c r="D28" i="2"/>
  <c r="D2" i="2"/>
  <c r="R5" i="1" l="1"/>
  <c r="S5" i="1" s="1" a="1"/>
  <c r="S5" i="1" s="1"/>
  <c r="R36" i="1"/>
  <c r="S36" i="1" s="1" a="1"/>
  <c r="S36" i="1" s="1"/>
  <c r="R59" i="1"/>
  <c r="S59" i="1" s="1" a="1"/>
  <c r="S59" i="1" s="1"/>
  <c r="R71" i="1"/>
  <c r="S71" i="1" s="1" a="1"/>
  <c r="S71" i="1" s="1"/>
  <c r="R89" i="1"/>
  <c r="S89" i="1" s="1" a="1"/>
  <c r="S89" i="1" s="1"/>
  <c r="L56" i="1"/>
  <c r="R56" i="1"/>
  <c r="S56" i="1" s="1" a="1"/>
  <c r="S56" i="1" s="1"/>
  <c r="R70" i="1"/>
  <c r="S70" i="1" s="1" a="1"/>
  <c r="S70" i="1" s="1"/>
  <c r="R72" i="1"/>
  <c r="S72" i="1" s="1" a="1"/>
  <c r="S72" i="1" s="1"/>
  <c r="R88" i="1"/>
  <c r="S88" i="1" s="1" a="1"/>
  <c r="S88" i="1" s="1"/>
  <c r="L39" i="1"/>
  <c r="R39" i="1"/>
  <c r="S39" i="1" s="1" a="1"/>
  <c r="S39" i="1" s="1"/>
  <c r="R69" i="1"/>
  <c r="S69" i="1" s="1" a="1"/>
  <c r="S69" i="1" s="1"/>
  <c r="L30" i="1"/>
  <c r="R30" i="1"/>
  <c r="S30" i="1" s="1" a="1"/>
  <c r="S30" i="1" s="1"/>
  <c r="R47" i="1"/>
  <c r="S47" i="1" s="1" a="1"/>
  <c r="S47" i="1" s="1"/>
  <c r="R73" i="1"/>
  <c r="S73" i="1" s="1" a="1"/>
  <c r="S73" i="1" s="1"/>
  <c r="R26" i="1"/>
  <c r="S26" i="1" s="1" a="1"/>
  <c r="S26" i="1" s="1"/>
  <c r="R52" i="1"/>
  <c r="S52" i="1" s="1" a="1"/>
  <c r="S52" i="1" s="1"/>
  <c r="R53" i="1"/>
  <c r="S53" i="1" s="1" a="1"/>
  <c r="S53" i="1" s="1"/>
  <c r="R60" i="1"/>
  <c r="S60" i="1" s="1" a="1"/>
  <c r="S60" i="1" s="1"/>
  <c r="L24" i="1"/>
  <c r="R24" i="1"/>
  <c r="S24" i="1" s="1" a="1"/>
  <c r="S24" i="1" s="1"/>
  <c r="R51" i="1"/>
  <c r="S51" i="1" s="1" a="1"/>
  <c r="S51" i="1" s="1"/>
  <c r="R61" i="1"/>
  <c r="S61" i="1" s="1" a="1"/>
  <c r="S61" i="1" s="1"/>
  <c r="R66" i="1"/>
  <c r="S66" i="1" s="1" a="1"/>
  <c r="S66" i="1" s="1"/>
  <c r="R68" i="1"/>
  <c r="S68" i="1" s="1" a="1"/>
  <c r="S68" i="1" s="1"/>
  <c r="R86" i="1"/>
  <c r="S86" i="1" s="1" a="1"/>
  <c r="S86" i="1" s="1"/>
  <c r="L19" i="1"/>
  <c r="R19" i="1"/>
  <c r="S19" i="1" s="1" a="1"/>
  <c r="S19" i="1" s="1"/>
  <c r="R27" i="1"/>
  <c r="S27" i="1" s="1" a="1"/>
  <c r="S27" i="1" s="1"/>
  <c r="R35" i="1"/>
  <c r="S35" i="1" s="1" a="1"/>
  <c r="S35" i="1" s="1"/>
  <c r="R45" i="1"/>
  <c r="S45" i="1" s="1" a="1"/>
  <c r="S45" i="1" s="1"/>
  <c r="R48" i="1"/>
  <c r="S48" i="1" s="1" a="1"/>
  <c r="S48" i="1" s="1"/>
  <c r="R58" i="1"/>
  <c r="S58" i="1" s="1" a="1"/>
  <c r="S58" i="1" s="1"/>
  <c r="L18" i="1"/>
  <c r="R18" i="1"/>
  <c r="S18" i="1" s="1" a="1"/>
  <c r="S18" i="1" s="1"/>
  <c r="R22" i="1"/>
  <c r="S22" i="1" s="1" a="1"/>
  <c r="S22" i="1" s="1"/>
  <c r="R67" i="1"/>
  <c r="S67" i="1" s="1" a="1"/>
  <c r="S67" i="1" s="1"/>
  <c r="L17" i="1"/>
  <c r="R17" i="1"/>
  <c r="S17" i="1" s="1" a="1"/>
  <c r="S17" i="1" s="1"/>
  <c r="R29" i="1"/>
  <c r="S29" i="1" s="1" a="1"/>
  <c r="S29" i="1" s="1"/>
  <c r="R49" i="1"/>
  <c r="S49" i="1" s="1" a="1"/>
  <c r="S49" i="1" s="1"/>
  <c r="R91" i="1"/>
  <c r="S91" i="1" s="1" a="1"/>
  <c r="S91" i="1" s="1"/>
  <c r="L14" i="1"/>
  <c r="R14" i="1"/>
  <c r="S14" i="1" s="1" a="1"/>
  <c r="S14" i="1" s="1"/>
  <c r="R28" i="1"/>
  <c r="S28" i="1" s="1" a="1"/>
  <c r="S28" i="1" s="1"/>
  <c r="R41" i="1"/>
  <c r="S41" i="1" s="1" a="1"/>
  <c r="S41" i="1" s="1"/>
  <c r="R43" i="1"/>
  <c r="S43" i="1" s="1" a="1"/>
  <c r="S43" i="1" s="1"/>
  <c r="R62" i="1"/>
  <c r="S62" i="1" s="1" a="1"/>
  <c r="S62" i="1" s="1"/>
  <c r="R63" i="1"/>
  <c r="S63" i="1" s="1" a="1"/>
  <c r="S63" i="1" s="1"/>
  <c r="R79" i="1"/>
  <c r="S79" i="1" s="1" a="1"/>
  <c r="S79" i="1" s="1"/>
  <c r="R84" i="1"/>
  <c r="S84" i="1" s="1" a="1"/>
  <c r="S84" i="1" s="1"/>
  <c r="L13" i="1"/>
  <c r="R13" i="1"/>
  <c r="S13" i="1" s="1" a="1"/>
  <c r="S13" i="1" s="1"/>
  <c r="R16" i="1"/>
  <c r="S16" i="1" s="1" a="1"/>
  <c r="S16" i="1" s="1"/>
  <c r="R31" i="1"/>
  <c r="S31" i="1" s="1" a="1"/>
  <c r="S31" i="1" s="1"/>
  <c r="R32" i="1"/>
  <c r="S32" i="1" s="1" a="1"/>
  <c r="S32" i="1" s="1"/>
  <c r="L12" i="1"/>
  <c r="R12" i="1"/>
  <c r="S12" i="1" s="1" a="1"/>
  <c r="S12" i="1" s="1"/>
  <c r="R44" i="1"/>
  <c r="S44" i="1" s="1" a="1"/>
  <c r="S44" i="1" s="1"/>
  <c r="R55" i="1"/>
  <c r="S55" i="1" s="1" a="1"/>
  <c r="S55" i="1" s="1"/>
  <c r="R65" i="1"/>
  <c r="S65" i="1" s="1" a="1"/>
  <c r="S65" i="1" s="1"/>
  <c r="R81" i="1"/>
  <c r="S81" i="1" s="1" a="1"/>
  <c r="S81" i="1" s="1"/>
  <c r="R82" i="1"/>
  <c r="S82" i="1" s="1" a="1"/>
  <c r="S82" i="1" s="1"/>
  <c r="R90" i="1"/>
  <c r="S90" i="1" s="1" a="1"/>
  <c r="S90" i="1" s="1"/>
  <c r="L11" i="1"/>
  <c r="R11" i="1"/>
  <c r="S11" i="1" s="1" a="1"/>
  <c r="S11" i="1" s="1"/>
  <c r="R20" i="1"/>
  <c r="S20" i="1" s="1" a="1"/>
  <c r="S20" i="1" s="1"/>
  <c r="R33" i="1"/>
  <c r="S33" i="1" s="1" a="1"/>
  <c r="S33" i="1" s="1"/>
  <c r="R37" i="1"/>
  <c r="S37" i="1" s="1" a="1"/>
  <c r="S37" i="1" s="1"/>
  <c r="R38" i="1"/>
  <c r="S38" i="1" s="1" a="1"/>
  <c r="S38" i="1" s="1"/>
  <c r="R50" i="1"/>
  <c r="S50" i="1" s="1" a="1"/>
  <c r="S50" i="1" s="1"/>
  <c r="R64" i="1"/>
  <c r="S64" i="1" s="1" a="1"/>
  <c r="S64" i="1" s="1"/>
  <c r="L10" i="1"/>
  <c r="R10" i="1"/>
  <c r="S10" i="1" s="1" a="1"/>
  <c r="S10" i="1" s="1"/>
  <c r="R25" i="1"/>
  <c r="S25" i="1" s="1" a="1"/>
  <c r="S25" i="1" s="1"/>
  <c r="R40" i="1"/>
  <c r="S40" i="1" s="1" a="1"/>
  <c r="S40" i="1" s="1"/>
  <c r="R54" i="1"/>
  <c r="S54" i="1" s="1" a="1"/>
  <c r="S54" i="1" s="1"/>
  <c r="L9" i="1"/>
  <c r="R9" i="1"/>
  <c r="S9" i="1" s="1" a="1"/>
  <c r="S9" i="1" s="1"/>
  <c r="R34" i="1"/>
  <c r="S34" i="1" s="1" a="1"/>
  <c r="S34" i="1" s="1"/>
  <c r="R85" i="1"/>
  <c r="S85" i="1" s="1" a="1"/>
  <c r="S85" i="1" s="1"/>
  <c r="L8" i="1"/>
  <c r="R8" i="1"/>
  <c r="S8" i="1" s="1" a="1"/>
  <c r="S8" i="1" s="1"/>
  <c r="R77" i="1"/>
  <c r="S77" i="1" s="1" a="1"/>
  <c r="S77" i="1" s="1"/>
  <c r="R78" i="1"/>
  <c r="S78" i="1" s="1" a="1"/>
  <c r="S78" i="1" s="1"/>
  <c r="R80" i="1"/>
  <c r="S80" i="1" s="1" a="1"/>
  <c r="S80" i="1" s="1"/>
  <c r="R87" i="1"/>
  <c r="S87" i="1" s="1" a="1"/>
  <c r="S87" i="1" s="1"/>
  <c r="L7" i="1"/>
  <c r="R7" i="1"/>
  <c r="S7" i="1" s="1" a="1"/>
  <c r="S7" i="1" s="1"/>
  <c r="R46" i="1"/>
  <c r="S46" i="1" s="1" a="1"/>
  <c r="S46" i="1" s="1"/>
  <c r="L6" i="1"/>
  <c r="R6" i="1"/>
  <c r="S6" i="1" s="1" a="1"/>
  <c r="S6" i="1" s="1"/>
  <c r="R42" i="1"/>
  <c r="S42" i="1" s="1" a="1"/>
  <c r="S42" i="1" s="1"/>
  <c r="R74" i="1"/>
  <c r="S74" i="1" s="1" a="1"/>
  <c r="S74" i="1" s="1"/>
  <c r="R83" i="1"/>
  <c r="S83" i="1" s="1" a="1"/>
  <c r="S83" i="1" s="1"/>
  <c r="L4" i="1"/>
  <c r="R4" i="1"/>
  <c r="S4" i="1" s="1" a="1"/>
  <c r="S4" i="1" s="1"/>
  <c r="R15" i="1"/>
  <c r="S15" i="1" s="1" a="1"/>
  <c r="S15" i="1" s="1"/>
  <c r="R23" i="1"/>
  <c r="S23" i="1" s="1" a="1"/>
  <c r="S23" i="1" s="1"/>
  <c r="R57" i="1"/>
  <c r="S57" i="1" s="1" a="1"/>
  <c r="S57" i="1" s="1"/>
  <c r="R75" i="1"/>
  <c r="S75" i="1" s="1" a="1"/>
  <c r="S75" i="1" s="1"/>
  <c r="L3" i="1"/>
  <c r="R3" i="1"/>
  <c r="S3" i="1" s="1" a="1"/>
  <c r="S3" i="1" s="1"/>
  <c r="R21" i="1"/>
  <c r="S21" i="1" s="1" a="1"/>
  <c r="S21" i="1" s="1"/>
  <c r="R76" i="1"/>
  <c r="S76" i="1" s="1" a="1"/>
  <c r="S76" i="1" s="1"/>
  <c r="O91" i="1"/>
  <c r="N91" i="1"/>
  <c r="P91" i="1" s="1"/>
  <c r="Q91" i="1" s="1"/>
  <c r="O90" i="1"/>
  <c r="N90" i="1"/>
  <c r="P90" i="1" s="1"/>
  <c r="Q90" i="1" s="1"/>
  <c r="O89" i="1"/>
  <c r="N89" i="1"/>
  <c r="P89" i="1" s="1"/>
  <c r="Q89" i="1" s="1"/>
  <c r="O88" i="1"/>
  <c r="N88" i="1"/>
  <c r="P88" i="1" s="1"/>
  <c r="Q88" i="1" s="1"/>
  <c r="O87" i="1"/>
  <c r="N87" i="1"/>
  <c r="P87" i="1" s="1"/>
  <c r="Q87" i="1" s="1"/>
  <c r="O86" i="1"/>
  <c r="N86" i="1"/>
  <c r="P86" i="1" s="1"/>
  <c r="Q86" i="1" s="1"/>
  <c r="O85" i="1"/>
  <c r="N85" i="1"/>
  <c r="P85" i="1" s="1"/>
  <c r="Q85" i="1" s="1"/>
  <c r="O84" i="1"/>
  <c r="N84" i="1"/>
  <c r="P84" i="1" s="1"/>
  <c r="Q84" i="1" s="1"/>
  <c r="O83" i="1"/>
  <c r="N83" i="1"/>
  <c r="P83" i="1" s="1"/>
  <c r="Q83" i="1" s="1"/>
  <c r="O82" i="1"/>
  <c r="N82" i="1"/>
  <c r="P82" i="1" s="1"/>
  <c r="Q82" i="1" s="1"/>
  <c r="O81" i="1"/>
  <c r="N81" i="1"/>
  <c r="P81" i="1" s="1"/>
  <c r="Q81" i="1" s="1"/>
  <c r="O80" i="1"/>
  <c r="N80" i="1"/>
  <c r="P80" i="1" s="1"/>
  <c r="Q80" i="1" s="1"/>
  <c r="O79" i="1"/>
  <c r="N79" i="1"/>
  <c r="P79" i="1" s="1"/>
  <c r="Q79" i="1" s="1"/>
  <c r="O78" i="1"/>
  <c r="N78" i="1"/>
  <c r="P78" i="1" s="1"/>
  <c r="Q78" i="1" s="1"/>
  <c r="O77" i="1"/>
  <c r="N77" i="1"/>
  <c r="P77" i="1" s="1"/>
  <c r="Q77" i="1" s="1"/>
  <c r="O76" i="1"/>
  <c r="N76" i="1"/>
  <c r="P76" i="1" s="1"/>
  <c r="Q76" i="1" s="1"/>
  <c r="O75" i="1"/>
  <c r="N75" i="1"/>
  <c r="P75" i="1" s="1"/>
  <c r="Q75" i="1" s="1"/>
  <c r="O74" i="1"/>
  <c r="N74" i="1"/>
  <c r="P74" i="1" s="1"/>
  <c r="Q74" i="1" s="1"/>
  <c r="O73" i="1"/>
  <c r="N73" i="1"/>
  <c r="P73" i="1" s="1"/>
  <c r="Q73" i="1" s="1"/>
  <c r="O72" i="1"/>
  <c r="N72" i="1"/>
  <c r="P72" i="1" s="1"/>
  <c r="Q72" i="1" s="1"/>
  <c r="O71" i="1"/>
  <c r="N71" i="1"/>
  <c r="P71" i="1" s="1"/>
  <c r="Q71" i="1" s="1"/>
  <c r="O70" i="1"/>
  <c r="N70" i="1"/>
  <c r="P70" i="1" s="1"/>
  <c r="Q70" i="1" s="1"/>
  <c r="O69" i="1"/>
  <c r="N69" i="1"/>
  <c r="P69" i="1" s="1"/>
  <c r="Q69" i="1" s="1"/>
  <c r="O68" i="1"/>
  <c r="N68" i="1"/>
  <c r="P68" i="1" s="1"/>
  <c r="Q68" i="1" s="1"/>
  <c r="O67" i="1"/>
  <c r="N67" i="1"/>
  <c r="P67" i="1" s="1"/>
  <c r="Q67" i="1" s="1"/>
  <c r="O66" i="1"/>
  <c r="N66" i="1"/>
  <c r="P66" i="1" s="1"/>
  <c r="Q66" i="1" s="1"/>
  <c r="O65" i="1"/>
  <c r="N65" i="1"/>
  <c r="P65" i="1" s="1"/>
  <c r="Q65" i="1" s="1"/>
  <c r="O64" i="1"/>
  <c r="N64" i="1"/>
  <c r="P64" i="1" s="1"/>
  <c r="Q64" i="1" s="1"/>
  <c r="O63" i="1"/>
  <c r="N63" i="1"/>
  <c r="P63" i="1" s="1"/>
  <c r="Q63" i="1" s="1"/>
  <c r="O62" i="1"/>
  <c r="N62" i="1"/>
  <c r="P62" i="1" s="1"/>
  <c r="Q62" i="1" s="1"/>
  <c r="O61" i="1"/>
  <c r="N61" i="1"/>
  <c r="P61" i="1" s="1"/>
  <c r="Q61" i="1" s="1"/>
  <c r="O60" i="1"/>
  <c r="N60" i="1"/>
  <c r="P60" i="1" s="1"/>
  <c r="Q60" i="1" s="1"/>
  <c r="O59" i="1"/>
  <c r="N59" i="1"/>
  <c r="P59" i="1" s="1"/>
  <c r="Q59" i="1" s="1"/>
  <c r="O58" i="1"/>
  <c r="N58" i="1"/>
  <c r="P58" i="1" s="1"/>
  <c r="Q58" i="1" s="1"/>
  <c r="O57" i="1"/>
  <c r="N57" i="1"/>
  <c r="P57" i="1" s="1"/>
  <c r="Q57" i="1" s="1"/>
  <c r="O56" i="1"/>
  <c r="N56" i="1"/>
  <c r="P56" i="1" s="1"/>
  <c r="Q56" i="1" s="1"/>
  <c r="O55" i="1"/>
  <c r="N55" i="1"/>
  <c r="P55" i="1" s="1"/>
  <c r="Q55" i="1" s="1"/>
  <c r="O54" i="1"/>
  <c r="N54" i="1"/>
  <c r="P54" i="1" s="1"/>
  <c r="Q54" i="1" s="1"/>
  <c r="O53" i="1"/>
  <c r="N53" i="1"/>
  <c r="P53" i="1" s="1"/>
  <c r="Q53" i="1" s="1"/>
  <c r="O52" i="1"/>
  <c r="N52" i="1"/>
  <c r="P52" i="1" s="1"/>
  <c r="Q52" i="1" s="1"/>
  <c r="O51" i="1"/>
  <c r="N51" i="1"/>
  <c r="P51" i="1" s="1"/>
  <c r="Q51" i="1" s="1"/>
  <c r="O50" i="1"/>
  <c r="N50" i="1"/>
  <c r="P50" i="1" s="1"/>
  <c r="Q50" i="1" s="1"/>
  <c r="O49" i="1"/>
  <c r="N49" i="1"/>
  <c r="P49" i="1" s="1"/>
  <c r="Q49" i="1" s="1"/>
  <c r="O48" i="1"/>
  <c r="N48" i="1"/>
  <c r="P48" i="1" s="1"/>
  <c r="Q48" i="1" s="1"/>
  <c r="O47" i="1"/>
  <c r="N47" i="1"/>
  <c r="P47" i="1" s="1"/>
  <c r="Q47" i="1" s="1"/>
  <c r="O46" i="1"/>
  <c r="N46" i="1"/>
  <c r="P46" i="1" s="1"/>
  <c r="Q46" i="1" s="1"/>
  <c r="O45" i="1"/>
  <c r="N45" i="1"/>
  <c r="P45" i="1" s="1"/>
  <c r="Q45" i="1" s="1"/>
  <c r="O44" i="1"/>
  <c r="N44" i="1"/>
  <c r="P44" i="1" s="1"/>
  <c r="Q44" i="1" s="1"/>
  <c r="O43" i="1"/>
  <c r="N43" i="1"/>
  <c r="P43" i="1" s="1"/>
  <c r="Q43" i="1" s="1"/>
  <c r="O42" i="1"/>
  <c r="N42" i="1"/>
  <c r="P42" i="1" s="1"/>
  <c r="Q42" i="1" s="1"/>
  <c r="O41" i="1"/>
  <c r="N41" i="1"/>
  <c r="P41" i="1" s="1"/>
  <c r="Q41" i="1" s="1"/>
  <c r="O40" i="1"/>
  <c r="N40" i="1"/>
  <c r="P40" i="1" s="1"/>
  <c r="Q40" i="1" s="1"/>
  <c r="O39" i="1"/>
  <c r="N39" i="1"/>
  <c r="P39" i="1" s="1"/>
  <c r="Q39" i="1" s="1"/>
  <c r="O38" i="1"/>
  <c r="N38" i="1"/>
  <c r="P38" i="1" s="1"/>
  <c r="Q38" i="1" s="1"/>
  <c r="O37" i="1"/>
  <c r="N37" i="1"/>
  <c r="P37" i="1" s="1"/>
  <c r="Q37" i="1" s="1"/>
  <c r="O36" i="1"/>
  <c r="N36" i="1"/>
  <c r="P36" i="1" s="1"/>
  <c r="Q36" i="1" s="1"/>
  <c r="O35" i="1"/>
  <c r="N35" i="1"/>
  <c r="P35" i="1" s="1"/>
  <c r="Q35" i="1" s="1"/>
  <c r="O34" i="1"/>
  <c r="N34" i="1"/>
  <c r="P34" i="1" s="1"/>
  <c r="Q34" i="1" s="1"/>
  <c r="O33" i="1"/>
  <c r="N33" i="1"/>
  <c r="P33" i="1" s="1"/>
  <c r="Q33" i="1" s="1"/>
  <c r="O32" i="1"/>
  <c r="N32" i="1"/>
  <c r="P32" i="1" s="1"/>
  <c r="Q32" i="1" s="1"/>
  <c r="O31" i="1"/>
  <c r="N31" i="1"/>
  <c r="P31" i="1" s="1"/>
  <c r="Q31" i="1" s="1"/>
  <c r="O30" i="1"/>
  <c r="N30" i="1"/>
  <c r="P30" i="1" s="1"/>
  <c r="Q30" i="1" s="1"/>
  <c r="O29" i="1"/>
  <c r="N29" i="1"/>
  <c r="P29" i="1" s="1"/>
  <c r="Q29" i="1" s="1"/>
  <c r="O28" i="1"/>
  <c r="N28" i="1"/>
  <c r="P28" i="1" s="1"/>
  <c r="Q28" i="1" s="1"/>
  <c r="O27" i="1"/>
  <c r="N27" i="1"/>
  <c r="P27" i="1" s="1"/>
  <c r="Q27" i="1" s="1"/>
  <c r="O26" i="1"/>
  <c r="N26" i="1"/>
  <c r="P26" i="1" s="1"/>
  <c r="Q26" i="1" s="1"/>
  <c r="O25" i="1"/>
  <c r="N25" i="1"/>
  <c r="P25" i="1" s="1"/>
  <c r="Q25" i="1" s="1"/>
  <c r="O24" i="1"/>
  <c r="N24" i="1"/>
  <c r="P24" i="1" s="1"/>
  <c r="Q24" i="1" s="1"/>
  <c r="O23" i="1"/>
  <c r="N23" i="1"/>
  <c r="P23" i="1" s="1"/>
  <c r="Q23" i="1" s="1"/>
  <c r="O22" i="1"/>
  <c r="N22" i="1"/>
  <c r="P22" i="1" s="1"/>
  <c r="Q22" i="1" s="1"/>
  <c r="O21" i="1"/>
  <c r="N21" i="1"/>
  <c r="P21" i="1" s="1"/>
  <c r="Q21" i="1" s="1"/>
  <c r="O20" i="1"/>
  <c r="N20" i="1"/>
  <c r="P20" i="1" s="1"/>
  <c r="Q20" i="1" s="1"/>
  <c r="O19" i="1"/>
  <c r="N19" i="1"/>
  <c r="P19" i="1" s="1"/>
  <c r="Q19" i="1" s="1"/>
  <c r="O18" i="1"/>
  <c r="N18" i="1"/>
  <c r="P18" i="1" s="1"/>
  <c r="Q18" i="1" s="1"/>
  <c r="O17" i="1"/>
  <c r="N17" i="1"/>
  <c r="P17" i="1" s="1"/>
  <c r="Q17" i="1" s="1"/>
  <c r="O16" i="1"/>
  <c r="N16" i="1"/>
  <c r="P16" i="1" s="1"/>
  <c r="Q16" i="1" s="1"/>
  <c r="O15" i="1"/>
  <c r="N15" i="1"/>
  <c r="P15" i="1" s="1"/>
  <c r="Q15" i="1" s="1"/>
  <c r="O14" i="1"/>
  <c r="N14" i="1"/>
  <c r="P14" i="1" s="1"/>
  <c r="Q14" i="1" s="1"/>
  <c r="O13" i="1"/>
  <c r="N13" i="1"/>
  <c r="P13" i="1" s="1"/>
  <c r="Q13" i="1" s="1"/>
  <c r="O12" i="1"/>
  <c r="N12" i="1"/>
  <c r="P12" i="1" s="1"/>
  <c r="Q12" i="1" s="1"/>
  <c r="O11" i="1"/>
  <c r="N11" i="1"/>
  <c r="P11" i="1" s="1"/>
  <c r="Q11" i="1" s="1"/>
  <c r="O10" i="1"/>
  <c r="N10" i="1"/>
  <c r="P10" i="1" s="1"/>
  <c r="Q10" i="1" s="1"/>
  <c r="O9" i="1"/>
  <c r="N9" i="1"/>
  <c r="P9" i="1" s="1"/>
  <c r="Q9" i="1" s="1"/>
  <c r="O8" i="1"/>
  <c r="N8" i="1"/>
  <c r="P8" i="1" s="1"/>
  <c r="Q8" i="1" s="1"/>
  <c r="O7" i="1"/>
  <c r="N7" i="1"/>
  <c r="P7" i="1" s="1"/>
  <c r="Q7" i="1" s="1"/>
  <c r="O6" i="1"/>
  <c r="N6" i="1"/>
  <c r="P6" i="1" s="1"/>
  <c r="Q6" i="1" s="1"/>
  <c r="O5" i="1"/>
  <c r="N5" i="1"/>
  <c r="P5" i="1" s="1"/>
  <c r="Q5" i="1" s="1"/>
  <c r="O4" i="1"/>
  <c r="N4" i="1"/>
  <c r="P4" i="1" s="1"/>
  <c r="Q4" i="1" s="1"/>
  <c r="O3" i="1"/>
  <c r="N3" i="1"/>
  <c r="P3" i="1" s="1"/>
  <c r="Q3" i="1" s="1"/>
  <c r="A2" i="6"/>
  <c r="C3" i="6"/>
  <c r="C4" i="6"/>
  <c r="C5" i="6"/>
  <c r="B3" i="6"/>
  <c r="B4" i="6"/>
  <c r="B5" i="6"/>
  <c r="L26" i="1"/>
  <c r="L25" i="1"/>
  <c r="L89" i="1"/>
  <c r="L86" i="1"/>
  <c r="L83" i="1"/>
  <c r="L80" i="1"/>
  <c r="L77" i="1"/>
  <c r="L74" i="1"/>
  <c r="L71" i="1"/>
  <c r="L68" i="1"/>
  <c r="L65" i="1"/>
  <c r="L62" i="1"/>
  <c r="C2" i="6"/>
  <c r="B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<sst xmlns="http://schemas.openxmlformats.org/spreadsheetml/2006/main" count="579" uniqueCount="199">
  <si>
    <t>Region</t>
  </si>
  <si>
    <t>Sum of Revenue</t>
  </si>
  <si>
    <t>Sum of Profit</t>
  </si>
  <si>
    <t>East</t>
  </si>
  <si>
    <t>North</t>
  </si>
  <si>
    <t>South</t>
  </si>
  <si>
    <t>West</t>
  </si>
  <si>
    <t>Grand Total</t>
  </si>
  <si>
    <t> Product Category</t>
  </si>
  <si>
    <t>Accessories</t>
  </si>
  <si>
    <t>Electronics</t>
  </si>
  <si>
    <t>Office</t>
  </si>
  <si>
    <t>Classificatin</t>
  </si>
  <si>
    <t>Count of CustomerID</t>
  </si>
  <si>
    <t>Low Value</t>
  </si>
  <si>
    <t>Regular</t>
  </si>
  <si>
    <t>Average of Delivery Days</t>
  </si>
  <si>
    <t>Total Revenue</t>
  </si>
  <si>
    <t>Total Profit</t>
  </si>
  <si>
    <t>Top  Customer</t>
  </si>
  <si>
    <t>OrderID</t>
  </si>
  <si>
    <t>Date</t>
  </si>
  <si>
    <t>CustomerID</t>
  </si>
  <si>
    <t>Product</t>
  </si>
  <si>
    <t>Quantity</t>
  </si>
  <si>
    <t>UnitPrice</t>
  </si>
  <si>
    <t>Unit Cost</t>
  </si>
  <si>
    <t>Discount%</t>
  </si>
  <si>
    <t>Revenue</t>
  </si>
  <si>
    <t>Discounted Revenue</t>
  </si>
  <si>
    <t>Month Helper</t>
  </si>
  <si>
    <t>Monthly Overhead</t>
  </si>
  <si>
    <t>Orders This Month</t>
  </si>
  <si>
    <t>Allocated Overhead</t>
  </si>
  <si>
    <t>Profit</t>
  </si>
  <si>
    <t>Customer Total Revenue</t>
  </si>
  <si>
    <t>Index-Match</t>
  </si>
  <si>
    <t>Delivery Days</t>
  </si>
  <si>
    <t>Return Rate</t>
  </si>
  <si>
    <t>Q1-001</t>
  </si>
  <si>
    <t>Tablet</t>
  </si>
  <si>
    <t>Q1-002</t>
  </si>
  <si>
    <t>Headphones</t>
  </si>
  <si>
    <t>Q1-003</t>
  </si>
  <si>
    <t>Monitor</t>
  </si>
  <si>
    <t>Q1-004</t>
  </si>
  <si>
    <t>Smartphone</t>
  </si>
  <si>
    <t>Q1-005</t>
  </si>
  <si>
    <t>Laptop</t>
  </si>
  <si>
    <t>Q1-006</t>
  </si>
  <si>
    <t>Q1-007</t>
  </si>
  <si>
    <t>Q1-008</t>
  </si>
  <si>
    <t>Q1-009</t>
  </si>
  <si>
    <t>Printer</t>
  </si>
  <si>
    <t>Q1-010</t>
  </si>
  <si>
    <t>Q1-011</t>
  </si>
  <si>
    <t>Q1-012</t>
  </si>
  <si>
    <t>Q1-013</t>
  </si>
  <si>
    <t>Q1-014</t>
  </si>
  <si>
    <t>Q1-015</t>
  </si>
  <si>
    <t>Q1-016</t>
  </si>
  <si>
    <t>Q1-017</t>
  </si>
  <si>
    <t>Q1-018</t>
  </si>
  <si>
    <t>Q1-019</t>
  </si>
  <si>
    <t>Q1-020</t>
  </si>
  <si>
    <t>Q1-021</t>
  </si>
  <si>
    <t>Q1-022</t>
  </si>
  <si>
    <t>Q1-023</t>
  </si>
  <si>
    <t>Q1-024</t>
  </si>
  <si>
    <t>Q1-025</t>
  </si>
  <si>
    <t>Q1-026</t>
  </si>
  <si>
    <t>Q1-027</t>
  </si>
  <si>
    <t>Q1-028</t>
  </si>
  <si>
    <t>Q1-029</t>
  </si>
  <si>
    <t>Q1-030</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</si>
  <si>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</si>
  <si>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</si>
  <si>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</si>
  <si>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</si>
  <si>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</si>
  <si>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</si>
  <si>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</si>
  <si>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</si>
  <si>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</si>
  <si>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</si>
  <si>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</si>
  <si>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</si>
  <si>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</si>
  <si>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</si>
  <si>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</si>
  <si>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</si>
  <si>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</si>
  <si>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</si>
  <si>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</si>
  <si>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</si>
  <si>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</si>
  <si>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</si>
  <si>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</si>
  <si>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Q2-024</t>
  </si>
  <si>
    <t>Q2-025</t>
  </si>
  <si>
    <t>Q2-026</t>
  </si>
  <si>
    <t>Q2-027</t>
  </si>
  <si>
    <t>Q2-028</t>
  </si>
  <si>
    <t>Q2-029</t>
  </si>
  <si>
    <t>Q2-030</t>
  </si>
  <si>
    <t>Q3-001</t>
  </si>
  <si>
    <t>Q3-002</t>
  </si>
  <si>
    <t>Q3-003</t>
  </si>
  <si>
    <t>Q3-004</t>
  </si>
  <si>
    <t>Q3-005</t>
  </si>
  <si>
    <t>Q3-006</t>
  </si>
  <si>
    <t>Q3-007</t>
  </si>
  <si>
    <t>Q3-008</t>
  </si>
  <si>
    <t>Q3-009</t>
  </si>
  <si>
    <t>Q3-010</t>
  </si>
  <si>
    <t>Q3-011</t>
  </si>
  <si>
    <t>Q3-012</t>
  </si>
  <si>
    <t>Q3-013</t>
  </si>
  <si>
    <t>Q3-014</t>
  </si>
  <si>
    <t>Q3-015</t>
  </si>
  <si>
    <t>Q3-016</t>
  </si>
  <si>
    <t>Q3-017</t>
  </si>
  <si>
    <t>Q3-018</t>
  </si>
  <si>
    <t>Q3-019</t>
  </si>
  <si>
    <t>Q3-020</t>
  </si>
  <si>
    <t>Q3-021</t>
  </si>
  <si>
    <t>Q3-022</t>
  </si>
  <si>
    <t>Q3-023</t>
  </si>
  <si>
    <t>Q3-024</t>
  </si>
  <si>
    <t>Q3-025</t>
  </si>
  <si>
    <t>Q3-026</t>
  </si>
  <si>
    <t>Q3-027</t>
  </si>
  <si>
    <t>Q3-028</t>
  </si>
  <si>
    <t>Q3-029</t>
  </si>
  <si>
    <t>Q3-030</t>
  </si>
  <si>
    <t>DeliveryDays</t>
  </si>
  <si>
    <t>ReturnRate</t>
  </si>
  <si>
    <t>Unique list of Regions</t>
  </si>
  <si>
    <t>Count orders per Region</t>
  </si>
  <si>
    <t>Average</t>
  </si>
  <si>
    <t>Month</t>
  </si>
  <si>
    <t>Overheads</t>
  </si>
  <si>
    <t>Salaries</t>
  </si>
  <si>
    <t>OtherExpenses</t>
  </si>
  <si>
    <t>Category</t>
  </si>
  <si>
    <t>UnitCost</t>
  </si>
  <si>
    <t>Discount</t>
  </si>
  <si>
    <t>FirstName</t>
  </si>
  <si>
    <t>LastName</t>
  </si>
  <si>
    <t>Clean FirstName</t>
  </si>
  <si>
    <t>Clean LastName</t>
  </si>
  <si>
    <t>Product a customer bought</t>
  </si>
  <si>
    <t>Email</t>
  </si>
  <si>
    <t>Email Domain</t>
  </si>
  <si>
    <t>Naledi</t>
  </si>
  <si>
    <t>Pillay</t>
  </si>
  <si>
    <t>naledi.pillay@example.com</t>
  </si>
  <si>
    <t>Michael</t>
  </si>
  <si>
    <t>van Wyk</t>
  </si>
  <si>
    <t>michael.van wyk@example.com</t>
  </si>
  <si>
    <t>Botha</t>
  </si>
  <si>
    <t>naledi.botha@example.com</t>
  </si>
  <si>
    <t>Johnson</t>
  </si>
  <si>
    <t>michael.johnson@example.com</t>
  </si>
  <si>
    <t>Emily</t>
  </si>
  <si>
    <t>emily.johnson@example.com</t>
  </si>
  <si>
    <t>Nguyen</t>
  </si>
  <si>
    <t>michael.nguyen@example.com</t>
  </si>
  <si>
    <t>Sipho</t>
  </si>
  <si>
    <t>sipho.johnson@example.com</t>
  </si>
  <si>
    <t>Sarah</t>
  </si>
  <si>
    <t>sarah.nguyen@example.com</t>
  </si>
  <si>
    <t>John</t>
  </si>
  <si>
    <t>Brown</t>
  </si>
  <si>
    <t>john.brown@example.com</t>
  </si>
  <si>
    <t>Smith</t>
  </si>
  <si>
    <t>john.smith@example.com</t>
  </si>
  <si>
    <t>naledi.van wyk@example.com</t>
  </si>
  <si>
    <t>sipho.van wyk@example.com</t>
  </si>
  <si>
    <t>Mlambo</t>
  </si>
  <si>
    <t>john.mlambo@example.com</t>
  </si>
  <si>
    <t>sipho.nguyen@example.com</t>
  </si>
  <si>
    <t>sipho.smith@example.com</t>
  </si>
  <si>
    <t>michael.mlambo@example.com</t>
  </si>
  <si>
    <t>naledi.nguyen@example.com</t>
  </si>
  <si>
    <t>David</t>
  </si>
  <si>
    <t>david.van wyk@example.com</t>
  </si>
  <si>
    <t>Thabo</t>
  </si>
  <si>
    <t>thabo.botha@example.com</t>
  </si>
  <si>
    <t>Lerato</t>
  </si>
  <si>
    <t>Naidoo</t>
  </si>
  <si>
    <t>lerato.naidoo@example.com</t>
  </si>
  <si>
    <t>Aisha</t>
  </si>
  <si>
    <t>aisha.brown@example.com</t>
  </si>
  <si>
    <t>lerato.van wyk@example.com</t>
  </si>
  <si>
    <t>Sum of Profit Margin%</t>
  </si>
  <si>
    <t>NetProfit</t>
  </si>
  <si>
    <t>Products</t>
  </si>
  <si>
    <t>On-Time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</si>
</sst>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font>
      <sz val="11"/>
      <color theme="1"/>
      <name val="Calibri"/>
      <family val="2"/>
      <scheme val="minor"/>
    </font>
    <font>
      <b/>
      <sz val="11"/>
      <color rgb="FF000000"/>
      <name val="Calibri"/>
      <charset val="134"/>
    </font>
    <font>
      <sz val="11"/>
      <color rgb="FF000000"/>
      <name val="Calibri"/>
      <charset val="134"/>
    </font>
    <font>
      <sz val="12"/>
      <color rgb="FF1D2125"/>
      <name val="System-Ui"/>
      <charset val="1"/>
    </font>
    <font>
      <sz val="11"/>
      <color theme="0"/>
      <name val="Calibri"/>
      <family val="2"/>
      <scheme val="minor"/>
    </font>
  </fonts>
  <fills count="4">
    <fill>
      <patternFill patternType="none"/>
    </fill>
    <fill>
      <patternFill patternType="gray125"/>
    </fill>
    <fill>
      <patternFill patternType="solid">
        <fgColor theme="1"/>
        <bgColor theme="1"/>
      </patternFill>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4" tint="0.59999389629810485"/>
      </left>
      <right style="thin">
        <color theme="4" tint="0.59999389629810485"/>
      </right>
      <top/>
      <bottom/>
      <diagonal/>
    </border>
    <border>
      <left style="thin">
        <color rgb="FF000000"/>
      </left>
      <right style="thin">
        <color rgb="FF000000"/>
      </right>
      <top/>
      <bottom/>
      <diagonal/>
    </border>
  </borders>
  <cellStyleXfs count="1">
    <xf numFmtId="0" fontId="0" fillId="0" borderId="0"/>
  </cellStyleXfs>
  <cellXfs count="14">
    <xf numFmtId="0" fontId="0" fillId="0" borderId="0" xfId="0"/>
    <xf numFmtId="0" fontId="1" fillId="0" borderId="1" xfId="0" applyFont="1" applyBorder="1"/>
    <xf numFmtId="0" fontId="2" fillId="0" borderId="0" xfId="0" applyFont="1"/>
    <xf numFmtId="22" fontId="2" fillId="0" borderId="0" xfId="0" applyNumberFormat="1" applyFont="1"/>
    <xf numFmtId="164" fontId="2" fillId="0" borderId="0" xfId="0" applyNumberFormat="1" applyFont="1"/>
    <xf numFmtId="0" fontId="3" fillId="0" borderId="0" xfId="0" applyFont="1"/>
    <xf numFmtId="0" fontId="0" fillId="0" borderId="0" xfId="0" pivotButton="1"/>
    <xf numFmtId="0" fontId="1" fillId="0" borderId="2" xfId="0" applyFont="1" applyBorder="1"/>
    <xf numFmtId="0" fontId="0" fillId="0" borderId="0" xfId="0" applyNumberFormat="1"/>
    <xf numFmtId="0" fontId="4" fillId="2" borderId="0" xfId="0" applyFont="1" applyFill="1" applyBorder="1"/>
    <xf numFmtId="0" fontId="0" fillId="0" borderId="0" xfId="0" applyAlignment="1">
      <alignment horizontal="left"/>
    </xf>
    <xf numFmtId="0" fontId="1" fillId="0" borderId="4" xfId="0" applyFont="1" applyFill="1" applyBorder="1"/>
    <xf numFmtId="0" fontId="0" fillId="3" borderId="3" xfId="0" applyFont="1" applyFill="1" applyBorder="1" applyAlignment="1">
      <alignment horizontal="left"/>
    </xf>
    <xf numFmtId="0" fontId="0" fillId="3" borderId="3" xfId="0" applyNumberFormat="1" applyFont="1" applyFill="1" applyBorder="1"/>
  </cellXfs>
  <cellStyles count="1">
    <cellStyle name="Normal" xfId="0" builtinId="0"/>
  </cellStyles>
  <dxfs count="17">
    <dxf>
      <font>
        <b/>
        <i val="0"/>
        <strike val="0"/>
        <condense val="0"/>
        <extend val="0"/>
        <outline val="0"/>
        <shadow val="0"/>
        <u val="none"/>
        <vertAlign val="baseline"/>
        <sz val="11"/>
        <color rgb="FF000000"/>
        <name val="Calibri"/>
        <charset val="134"/>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charset val="134"/>
        <scheme val="none"/>
      </font>
    </dxf>
    <dxf>
      <font>
        <b val="0"/>
        <i val="0"/>
        <strike val="0"/>
        <condense val="0"/>
        <extend val="0"/>
        <outline val="0"/>
        <shadow val="0"/>
        <u val="none"/>
        <vertAlign val="baseline"/>
        <sz val="11"/>
        <color rgb="FF000000"/>
        <name val="Calibri"/>
        <charset val="134"/>
        <scheme val="none"/>
      </font>
    </dxf>
    <dxf>
      <font>
        <b val="0"/>
        <i val="0"/>
        <strike val="0"/>
        <condense val="0"/>
        <extend val="0"/>
        <outline val="0"/>
        <shadow val="0"/>
        <u val="none"/>
        <vertAlign val="baseline"/>
        <sz val="11"/>
        <color rgb="FF000000"/>
        <name val="Calibri"/>
        <charset val="134"/>
        <scheme val="none"/>
      </font>
    </dxf>
    <dxf>
      <font>
        <b val="0"/>
        <i val="0"/>
        <strike val="0"/>
        <condense val="0"/>
        <extend val="0"/>
        <outline val="0"/>
        <shadow val="0"/>
        <u val="none"/>
        <vertAlign val="baseline"/>
        <sz val="11"/>
        <color rgb="FF000000"/>
        <name val="Calibri"/>
        <charset val="134"/>
        <scheme val="none"/>
      </font>
    </dxf>
    <dxf>
      <font>
        <b val="0"/>
        <i val="0"/>
        <strike val="0"/>
        <condense val="0"/>
        <extend val="0"/>
        <outline val="0"/>
        <shadow val="0"/>
        <u val="none"/>
        <vertAlign val="baseline"/>
        <sz val="11"/>
        <color rgb="FF000000"/>
        <name val="Calibri"/>
        <charset val="134"/>
        <scheme val="none"/>
      </font>
      <numFmt numFmtId="27" formatCode="yyyy/mm/dd\ hh:mm"/>
    </dxf>
    <dxf>
      <font>
        <color rgb="FF9C0006"/>
      </font>
      <fill>
        <patternFill>
          <bgColor rgb="FFFFC7CE"/>
        </patternFill>
      </fill>
    </dxf>
    <dxf>
      <fill>
        <patternFill>
          <bgColor rgb="FFFFFF00"/>
        </patternFill>
      </fill>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[Sales_All - Copy (1).xlsx]Pivot 1_RevenueProfit!PivotTable1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1_RevenueProfit'!$B$3</c:f>
              <c:strCache>
                <c:ptCount val="1"/>
                <c:pt idx="0">
                  <c:v>Sum of Revenue</c:v>
                </c:pt>
              </c:strCache>
            </c:strRef>
          </c:tx>
          <c:spPr>
            <a:solidFill>
              <a:schemeClr val="accent1"/>
            </a:solidFill>
            <a:ln>
              <a:noFill/>
            </a:ln>
            <a:effectLst/>
          </c:spPr>
          <c:invertIfNegative val="0"/>
          <c:cat>
            <c:strRef>
              <c:f>'Pivot 1_RevenueProfit'!$A$4:$A$8</c:f>
              <c:strCache>
                <c:ptCount val="4"/>
                <c:pt idx="0">
                  <c:v>East</c:v>
                </c:pt>
                <c:pt idx="1">
                  <c:v>North</c:v>
                </c:pt>
                <c:pt idx="2">
                  <c:v>South</c:v>
                </c:pt>
                <c:pt idx="3">
                  <c:v>West</c:v>
                </c:pt>
              </c:strCache>
            </c:strRef>
          </c:cat>
          <c:val>
            <c:numRef>
              <c:f>'Pivot 1_RevenueProfit'!$B$4:$B$8</c:f>
              <c:numCache>
                <c:formatCode>General</c:formatCode>
                <c:ptCount val="4"/>
                <c:pt idx="0">
                  <c:v>104142</c:v>
                </c:pt>
                <c:pt idx="1">
                  <c:v>87013</c:v>
                </c:pt>
                <c:pt idx="2">
                  <c:v>124308</c:v>
                </c:pt>
                <c:pt idx="3">
                  <c:v>125799</c:v>
                </c:pt>
              </c:numCache>
            </c:numRef>
          </c:val>
          <c:extLst>
            <c:ext xmlns:c16="http://schemas.microsoft.com/office/drawing/2014/chart" uri="{C3380CC4-5D6E-409C-BE32-E72D297353CC}">
              <c16:uniqueId val="{00000000-0416-4B79-B820-06E3CA278281}"/>
            </c:ext>
          </c:extLst>
        </c:ser>
        <c:ser>
          <c:idx val="1"/>
          <c:order val="1"/>
          <c:tx>
            <c:strRef>
              <c:f>'Pivot 1_RevenueProfit'!$C$3</c:f>
              <c:strCache>
                <c:ptCount val="1"/>
                <c:pt idx="0">
                  <c:v>Sum of Profit</c:v>
                </c:pt>
              </c:strCache>
            </c:strRef>
          </c:tx>
          <c:spPr>
            <a:solidFill>
              <a:schemeClr val="accent2"/>
            </a:solidFill>
            <a:ln>
              <a:noFill/>
            </a:ln>
            <a:effectLst/>
          </c:spPr>
          <c:invertIfNegative val="0"/>
          <c:cat>
            <c:strRef>
              <c:f>'Pivot 1_RevenueProfit'!$A$4:$A$8</c:f>
              <c:strCache>
                <c:ptCount val="4"/>
                <c:pt idx="0">
                  <c:v>East</c:v>
                </c:pt>
                <c:pt idx="1">
                  <c:v>North</c:v>
                </c:pt>
                <c:pt idx="2">
                  <c:v>South</c:v>
                </c:pt>
                <c:pt idx="3">
                  <c:v>West</c:v>
                </c:pt>
              </c:strCache>
            </c:strRef>
          </c:cat>
          <c:val>
            <c:numRef>
              <c:f>'Pivot 1_RevenueProfit'!$C$4:$C$8</c:f>
              <c:numCache>
                <c:formatCode>General</c:formatCode>
                <c:ptCount val="4"/>
                <c:pt idx="0">
                  <c:v>-8369.6170274170272</c:v>
                </c:pt>
                <c:pt idx="1">
                  <c:v>-12968.720346320348</c:v>
                </c:pt>
                <c:pt idx="2">
                  <c:v>2883.0782106782076</c:v>
                </c:pt>
                <c:pt idx="3">
                  <c:v>6428.2591630591614</c:v>
                </c:pt>
              </c:numCache>
            </c:numRef>
          </c:val>
          <c:extLst>
            <c:ext xmlns:c16="http://schemas.microsoft.com/office/drawing/2014/chart" uri="{C3380CC4-5D6E-409C-BE32-E72D297353CC}">
              <c16:uniqueId val="{00000001-0416-4B79-B820-06E3CA278281}"/>
            </c:ext>
          </c:extLst>
        </c:ser>
        <c:dLbls>
          <c:showLegendKey val="0"/>
          <c:showVal val="0"/>
          <c:showCatName val="0"/>
          <c:showSerName val="0"/>
          <c:showPercent val="0"/>
          <c:showBubbleSize val="0"/>
        </c:dLbls>
        <c:gapWidth val="219"/>
        <c:overlap val="-27"/>
        <c:axId val="618653119"/>
        <c:axId val="490377135"/>
      </c:barChart>
      <c:lineChart>
        <c:grouping val="standard"/>
        <c:varyColors val="0"/>
        <c:ser>
          <c:idx val="2"/>
          <c:order val="2"/>
          <c:tx>
            <c:strRef>
              <c:f>'Pivot 1_RevenueProfit'!$D$3</c:f>
              <c:strCache>
                <c:ptCount val="1"/>
                <c:pt idx="0">
                  <c:v>Sum of Profit Margin%</c:v>
                </c:pt>
              </c:strCache>
            </c:strRef>
          </c:tx>
          <c:spPr>
            <a:ln w="28575" cap="rnd">
              <a:solidFill>
                <a:schemeClr val="accent3"/>
              </a:solidFill>
              <a:round/>
            </a:ln>
            <a:effectLst/>
          </c:spPr>
          <c:marker>
            <c:symbol val="none"/>
          </c:marker>
          <c:cat>
            <c:strRef>
              <c:f>'Pivot 1_RevenueProfit'!$A$4:$A$8</c:f>
              <c:strCache>
                <c:ptCount val="4"/>
                <c:pt idx="0">
                  <c:v>East</c:v>
                </c:pt>
                <c:pt idx="1">
                  <c:v>North</c:v>
                </c:pt>
                <c:pt idx="2">
                  <c:v>South</c:v>
                </c:pt>
                <c:pt idx="3">
                  <c:v>West</c:v>
                </c:pt>
              </c:strCache>
            </c:strRef>
          </c:cat>
          <c:val>
            <c:numRef>
              <c:f>'Pivot 1_RevenueProfit'!$D$4:$D$8</c:f>
              <c:numCache>
                <c:formatCode>General</c:formatCode>
                <c:ptCount val="4"/>
                <c:pt idx="0">
                  <c:v>-8.0367354452737863E-2</c:v>
                </c:pt>
                <c:pt idx="1">
                  <c:v>-0.14904348024226666</c:v>
                </c:pt>
                <c:pt idx="2">
                  <c:v>2.3193022256638413E-2</c:v>
                </c:pt>
                <c:pt idx="3">
                  <c:v>5.109944564789197E-2</c:v>
                </c:pt>
              </c:numCache>
            </c:numRef>
          </c:val>
          <c:smooth val="0"/>
          <c:extLst>
            <c:ext xmlns:c16="http://schemas.microsoft.com/office/drawing/2014/chart" uri="{C3380CC4-5D6E-409C-BE32-E72D297353CC}">
              <c16:uniqueId val="{00000002-0416-4B79-B820-06E3CA278281}"/>
            </c:ext>
          </c:extLst>
        </c:ser>
        <c:dLbls>
          <c:showLegendKey val="0"/>
          <c:showVal val="0"/>
          <c:showCatName val="0"/>
          <c:showSerName val="0"/>
          <c:showPercent val="0"/>
          <c:showBubbleSize val="0"/>
        </c:dLbls>
        <c:marker val="1"/>
        <c:smooth val="0"/>
        <c:axId val="616491439"/>
        <c:axId val="490375695"/>
      </c:lineChart>
      <c:catAx>
        <c:axId val="61865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77135"/>
        <c:crosses val="autoZero"/>
        <c:auto val="1"/>
        <c:lblAlgn val="ctr"/>
        <c:lblOffset val="100"/>
        <c:noMultiLvlLbl val="0"/>
      </c:catAx>
      <c:valAx>
        <c:axId val="49037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53119"/>
        <c:crosses val="autoZero"/>
        <c:crossBetween val="between"/>
      </c:valAx>
      <c:valAx>
        <c:axId val="4903756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91439"/>
        <c:crosses val="max"/>
        <c:crossBetween val="between"/>
      </c:valAx>
      <c:catAx>
        <c:axId val="616491439"/>
        <c:scaling>
          <c:orientation val="minMax"/>
        </c:scaling>
        <c:delete val="1"/>
        <c:axPos val="b"/>
        <c:numFmt formatCode="General" sourceLinked="1"/>
        <c:majorTickMark val="out"/>
        <c:minorTickMark val="none"/>
        <c:tickLblPos val="nextTo"/>
        <c:crossAx val="49037569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[Sales_All - Copy (1).xlsx]Pivot 1_RevenueProfit!PivotTable1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1_RevenueProfit'!$B$3</c:f>
              <c:strCache>
                <c:ptCount val="1"/>
                <c:pt idx="0">
                  <c:v>Sum of Revenue</c:v>
                </c:pt>
              </c:strCache>
            </c:strRef>
          </c:tx>
          <c:spPr>
            <a:solidFill>
              <a:schemeClr val="accent1"/>
            </a:solidFill>
            <a:ln>
              <a:noFill/>
            </a:ln>
            <a:effectLst/>
          </c:spPr>
          <c:invertIfNegative val="0"/>
          <c:cat>
            <c:strRef>
              <c:f>'Pivot 1_RevenueProfit'!$A$4:$A$8</c:f>
              <c:strCache>
                <c:ptCount val="4"/>
                <c:pt idx="0">
                  <c:v>East</c:v>
                </c:pt>
                <c:pt idx="1">
                  <c:v>North</c:v>
                </c:pt>
                <c:pt idx="2">
                  <c:v>South</c:v>
                </c:pt>
                <c:pt idx="3">
                  <c:v>West</c:v>
                </c:pt>
              </c:strCache>
            </c:strRef>
          </c:cat>
          <c:val>
            <c:numRef>
              <c:f>'Pivot 1_RevenueProfit'!$B$4:$B$8</c:f>
              <c:numCache>
                <c:formatCode>General</c:formatCode>
                <c:ptCount val="4"/>
                <c:pt idx="0">
                  <c:v>104142</c:v>
                </c:pt>
                <c:pt idx="1">
                  <c:v>87013</c:v>
                </c:pt>
                <c:pt idx="2">
                  <c:v>124308</c:v>
                </c:pt>
                <c:pt idx="3">
                  <c:v>125799</c:v>
                </c:pt>
              </c:numCache>
            </c:numRef>
          </c:val>
          <c:extLst>
            <c:ext xmlns:c16="http://schemas.microsoft.com/office/drawing/2014/chart" uri="{C3380CC4-5D6E-409C-BE32-E72D297353CC}">
              <c16:uniqueId val="{00000000-F051-4FDA-A5E1-E17ECA380A6F}"/>
            </c:ext>
          </c:extLst>
        </c:ser>
        <c:ser>
          <c:idx val="1"/>
          <c:order val="1"/>
          <c:tx>
            <c:strRef>
              <c:f>'Pivot 1_RevenueProfit'!$C$3</c:f>
              <c:strCache>
                <c:ptCount val="1"/>
                <c:pt idx="0">
                  <c:v>Sum of Profit</c:v>
                </c:pt>
              </c:strCache>
            </c:strRef>
          </c:tx>
          <c:spPr>
            <a:solidFill>
              <a:schemeClr val="accent2"/>
            </a:solidFill>
            <a:ln>
              <a:noFill/>
            </a:ln>
            <a:effectLst/>
          </c:spPr>
          <c:invertIfNegative val="0"/>
          <c:cat>
            <c:strRef>
              <c:f>'Pivot 1_RevenueProfit'!$A$4:$A$8</c:f>
              <c:strCache>
                <c:ptCount val="4"/>
                <c:pt idx="0">
                  <c:v>East</c:v>
                </c:pt>
                <c:pt idx="1">
                  <c:v>North</c:v>
                </c:pt>
                <c:pt idx="2">
                  <c:v>South</c:v>
                </c:pt>
                <c:pt idx="3">
                  <c:v>West</c:v>
                </c:pt>
              </c:strCache>
            </c:strRef>
          </c:cat>
          <c:val>
            <c:numRef>
              <c:f>'Pivot 1_RevenueProfit'!$C$4:$C$8</c:f>
              <c:numCache>
                <c:formatCode>General</c:formatCode>
                <c:ptCount val="4"/>
                <c:pt idx="0">
                  <c:v>-8369.6170274170272</c:v>
                </c:pt>
                <c:pt idx="1">
                  <c:v>-12968.720346320348</c:v>
                </c:pt>
                <c:pt idx="2">
                  <c:v>2883.0782106782076</c:v>
                </c:pt>
                <c:pt idx="3">
                  <c:v>6428.2591630591614</c:v>
                </c:pt>
              </c:numCache>
            </c:numRef>
          </c:val>
          <c:extLst>
            <c:ext xmlns:c16="http://schemas.microsoft.com/office/drawing/2014/chart" uri="{C3380CC4-5D6E-409C-BE32-E72D297353CC}">
              <c16:uniqueId val="{00000001-F051-4FDA-A5E1-E17ECA380A6F}"/>
            </c:ext>
          </c:extLst>
        </c:ser>
        <c:dLbls>
          <c:showLegendKey val="0"/>
          <c:showVal val="0"/>
          <c:showCatName val="0"/>
          <c:showSerName val="0"/>
          <c:showPercent val="0"/>
          <c:showBubbleSize val="0"/>
        </c:dLbls>
        <c:gapWidth val="219"/>
        <c:overlap val="-27"/>
        <c:axId val="618653119"/>
        <c:axId val="490377135"/>
      </c:barChart>
      <c:lineChart>
        <c:grouping val="standard"/>
        <c:varyColors val="0"/>
        <c:ser>
          <c:idx val="2"/>
          <c:order val="2"/>
          <c:tx>
            <c:strRef>
              <c:f>'Pivot 1_RevenueProfit'!$D$3</c:f>
              <c:strCache>
                <c:ptCount val="1"/>
                <c:pt idx="0">
                  <c:v>Sum of Profit Margin%</c:v>
                </c:pt>
              </c:strCache>
            </c:strRef>
          </c:tx>
          <c:spPr>
            <a:ln w="28575" cap="rnd">
              <a:solidFill>
                <a:schemeClr val="accent3"/>
              </a:solidFill>
              <a:round/>
            </a:ln>
            <a:effectLst/>
          </c:spPr>
          <c:marker>
            <c:symbol val="none"/>
          </c:marker>
          <c:cat>
            <c:strRef>
              <c:f>'Pivot 1_RevenueProfit'!$A$4:$A$8</c:f>
              <c:strCache>
                <c:ptCount val="4"/>
                <c:pt idx="0">
                  <c:v>East</c:v>
                </c:pt>
                <c:pt idx="1">
                  <c:v>North</c:v>
                </c:pt>
                <c:pt idx="2">
                  <c:v>South</c:v>
                </c:pt>
                <c:pt idx="3">
                  <c:v>West</c:v>
                </c:pt>
              </c:strCache>
            </c:strRef>
          </c:cat>
          <c:val>
            <c:numRef>
              <c:f>'Pivot 1_RevenueProfit'!$D$4:$D$8</c:f>
              <c:numCache>
                <c:formatCode>General</c:formatCode>
                <c:ptCount val="4"/>
                <c:pt idx="0">
                  <c:v>-8.0367354452737863E-2</c:v>
                </c:pt>
                <c:pt idx="1">
                  <c:v>-0.14904348024226666</c:v>
                </c:pt>
                <c:pt idx="2">
                  <c:v>2.3193022256638413E-2</c:v>
                </c:pt>
                <c:pt idx="3">
                  <c:v>5.109944564789197E-2</c:v>
                </c:pt>
              </c:numCache>
            </c:numRef>
          </c:val>
          <c:smooth val="0"/>
          <c:extLst>
            <c:ext xmlns:c16="http://schemas.microsoft.com/office/drawing/2014/chart" uri="{C3380CC4-5D6E-409C-BE32-E72D297353CC}">
              <c16:uniqueId val="{00000002-F051-4FDA-A5E1-E17ECA380A6F}"/>
            </c:ext>
          </c:extLst>
        </c:ser>
        <c:dLbls>
          <c:showLegendKey val="0"/>
          <c:showVal val="0"/>
          <c:showCatName val="0"/>
          <c:showSerName val="0"/>
          <c:showPercent val="0"/>
          <c:showBubbleSize val="0"/>
        </c:dLbls>
        <c:marker val="1"/>
        <c:smooth val="0"/>
        <c:axId val="616491439"/>
        <c:axId val="490375695"/>
      </c:lineChart>
      <c:catAx>
        <c:axId val="61865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77135"/>
        <c:crosses val="autoZero"/>
        <c:auto val="1"/>
        <c:lblAlgn val="ctr"/>
        <c:lblOffset val="100"/>
        <c:noMultiLvlLbl val="0"/>
      </c:catAx>
      <c:valAx>
        <c:axId val="49037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53119"/>
        <c:crosses val="autoZero"/>
        <c:crossBetween val="between"/>
      </c:valAx>
      <c:valAx>
        <c:axId val="4903756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91439"/>
        <c:crosses val="max"/>
        <c:crossBetween val="between"/>
      </c:valAx>
      <c:catAx>
        <c:axId val="616491439"/>
        <c:scaling>
          <c:orientation val="minMax"/>
        </c:scaling>
        <c:delete val="1"/>
        <c:axPos val="b"/>
        <c:numFmt formatCode="General" sourceLinked="1"/>
        <c:majorTickMark val="out"/>
        <c:minorTickMark val="none"/>
        <c:tickLblPos val="nextTo"/>
        <c:crossAx val="490375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EXPENSES</a:t>
            </a:r>
            <a:r>
              <a:rPr lang="en-ZA" baseline="0"/>
              <a:t> VS PROFIT</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563483175106393E-2"/>
          <c:y val="0.14330049261083747"/>
          <c:w val="0.87801857371767256"/>
          <c:h val="0.59032814863659289"/>
        </c:manualLayout>
      </c:layout>
      <c:barChart>
        <c:barDir val="bar"/>
        <c:grouping val="clustered"/>
        <c:varyColors val="0"/>
        <c:ser>
          <c:idx val="0"/>
          <c:order val="0"/>
          <c:tx>
            <c:strRef>
              <c:f>Finance_Data!$D$2</c:f>
              <c:strCache>
                <c:ptCount val="1"/>
                <c:pt idx="0">
                  <c:v>OtherExpenses</c:v>
                </c:pt>
              </c:strCache>
            </c:strRef>
          </c:tx>
          <c:spPr>
            <a:solidFill>
              <a:schemeClr val="accent1"/>
            </a:solidFill>
            <a:ln>
              <a:noFill/>
            </a:ln>
            <a:effectLst/>
          </c:spPr>
          <c:invertIfNegative val="0"/>
          <c:val>
            <c:numRef>
              <c:f>Finance_Data!$D$3:$D$11</c:f>
              <c:numCache>
                <c:formatCode>General</c:formatCode>
                <c:ptCount val="9"/>
                <c:pt idx="0">
                  <c:v>21492</c:v>
                </c:pt>
                <c:pt idx="1">
                  <c:v>27724</c:v>
                </c:pt>
                <c:pt idx="2">
                  <c:v>17738</c:v>
                </c:pt>
                <c:pt idx="3">
                  <c:v>21152</c:v>
                </c:pt>
                <c:pt idx="4">
                  <c:v>19723</c:v>
                </c:pt>
                <c:pt idx="5">
                  <c:v>15769</c:v>
                </c:pt>
                <c:pt idx="6">
                  <c:v>25453</c:v>
                </c:pt>
                <c:pt idx="7">
                  <c:v>16230</c:v>
                </c:pt>
                <c:pt idx="8">
                  <c:v>28818</c:v>
                </c:pt>
              </c:numCache>
            </c:numRef>
          </c:val>
          <c:extLst>
            <c:ext xmlns:c16="http://schemas.microsoft.com/office/drawing/2014/chart" uri="{C3380CC4-5D6E-409C-BE32-E72D297353CC}">
              <c16:uniqueId val="{00000000-6CF1-44B5-A973-06D146B8D1AC}"/>
            </c:ext>
          </c:extLst>
        </c:ser>
        <c:ser>
          <c:idx val="1"/>
          <c:order val="1"/>
          <c:tx>
            <c:strRef>
              <c:f>Finance_Data!$E$2</c:f>
              <c:strCache>
                <c:ptCount val="1"/>
                <c:pt idx="0">
                  <c:v>NetProfit</c:v>
                </c:pt>
              </c:strCache>
            </c:strRef>
          </c:tx>
          <c:spPr>
            <a:solidFill>
              <a:schemeClr val="accent2"/>
            </a:solidFill>
            <a:ln>
              <a:noFill/>
            </a:ln>
            <a:effectLst/>
          </c:spPr>
          <c:invertIfNegative val="0"/>
          <c:val>
            <c:numRef>
              <c:f>Finance_Data!$E$3:$E$11</c:f>
              <c:numCache>
                <c:formatCode>General</c:formatCode>
                <c:ptCount val="9"/>
                <c:pt idx="0">
                  <c:v>34442</c:v>
                </c:pt>
                <c:pt idx="1">
                  <c:v>27213</c:v>
                </c:pt>
                <c:pt idx="2">
                  <c:v>29743</c:v>
                </c:pt>
                <c:pt idx="3">
                  <c:v>46251</c:v>
                </c:pt>
                <c:pt idx="4">
                  <c:v>23527</c:v>
                </c:pt>
                <c:pt idx="5">
                  <c:v>79875</c:v>
                </c:pt>
                <c:pt idx="6">
                  <c:v>26993</c:v>
                </c:pt>
                <c:pt idx="7">
                  <c:v>57026</c:v>
                </c:pt>
                <c:pt idx="8">
                  <c:v>36500</c:v>
                </c:pt>
              </c:numCache>
            </c:numRef>
          </c:val>
          <c:extLst>
            <c:ext xmlns:c16="http://schemas.microsoft.com/office/drawing/2014/chart" uri="{C3380CC4-5D6E-409C-BE32-E72D297353CC}">
              <c16:uniqueId val="{00000001-6CF1-44B5-A973-06D146B8D1AC}"/>
            </c:ext>
          </c:extLst>
        </c:ser>
        <c:dLbls>
          <c:showLegendKey val="0"/>
          <c:showVal val="0"/>
          <c:showCatName val="0"/>
          <c:showSerName val="0"/>
          <c:showPercent val="0"/>
          <c:showBubbleSize val="0"/>
        </c:dLbls>
        <c:gapWidth val="182"/>
        <c:axId val="727587983"/>
        <c:axId val="490438095"/>
      </c:barChart>
      <c:catAx>
        <c:axId val="72758798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38095"/>
        <c:crosses val="autoZero"/>
        <c:auto val="1"/>
        <c:lblAlgn val="ctr"/>
        <c:lblOffset val="100"/>
        <c:noMultiLvlLbl val="0"/>
      </c:catAx>
      <c:valAx>
        <c:axId val="49043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8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563483175106393E-2"/>
          <c:y val="0.14330049261083747"/>
          <c:w val="0.87801857371767256"/>
          <c:h val="0.59032814863659289"/>
        </c:manualLayout>
      </c:layout>
      <c:barChart>
        <c:barDir val="bar"/>
        <c:grouping val="clustered"/>
        <c:varyColors val="0"/>
        <c:ser>
          <c:idx val="0"/>
          <c:order val="0"/>
          <c:tx>
            <c:strRef>
              <c:f>Finance_Data!$D$2</c:f>
              <c:strCache>
                <c:ptCount val="1"/>
                <c:pt idx="0">
                  <c:v>OtherExpenses</c:v>
                </c:pt>
              </c:strCache>
            </c:strRef>
          </c:tx>
          <c:spPr>
            <a:solidFill>
              <a:schemeClr val="accent1"/>
            </a:solidFill>
            <a:ln>
              <a:noFill/>
            </a:ln>
            <a:effectLst/>
          </c:spPr>
          <c:invertIfNegative val="0"/>
          <c:val>
            <c:numRef>
              <c:f>Finance_Data!$D$3:$D$11</c:f>
              <c:numCache>
                <c:formatCode>General</c:formatCode>
                <c:ptCount val="9"/>
                <c:pt idx="0">
                  <c:v>21492</c:v>
                </c:pt>
                <c:pt idx="1">
                  <c:v>27724</c:v>
                </c:pt>
                <c:pt idx="2">
                  <c:v>17738</c:v>
                </c:pt>
                <c:pt idx="3">
                  <c:v>21152</c:v>
                </c:pt>
                <c:pt idx="4">
                  <c:v>19723</c:v>
                </c:pt>
                <c:pt idx="5">
                  <c:v>15769</c:v>
                </c:pt>
                <c:pt idx="6">
                  <c:v>25453</c:v>
                </c:pt>
                <c:pt idx="7">
                  <c:v>16230</c:v>
                </c:pt>
                <c:pt idx="8">
                  <c:v>28818</c:v>
                </c:pt>
              </c:numCache>
            </c:numRef>
          </c:val>
          <c:extLst>
            <c:ext xmlns:c16="http://schemas.microsoft.com/office/drawing/2014/chart" uri="{C3380CC4-5D6E-409C-BE32-E72D297353CC}">
              <c16:uniqueId val="{00000000-DF31-4859-8A48-CC848C8BEF86}"/>
            </c:ext>
          </c:extLst>
        </c:ser>
        <c:ser>
          <c:idx val="1"/>
          <c:order val="1"/>
          <c:tx>
            <c:strRef>
              <c:f>Finance_Data!$E$2</c:f>
              <c:strCache>
                <c:ptCount val="1"/>
                <c:pt idx="0">
                  <c:v>NetProfit</c:v>
                </c:pt>
              </c:strCache>
            </c:strRef>
          </c:tx>
          <c:spPr>
            <a:solidFill>
              <a:schemeClr val="accent2"/>
            </a:solidFill>
            <a:ln>
              <a:noFill/>
            </a:ln>
            <a:effectLst/>
          </c:spPr>
          <c:invertIfNegative val="0"/>
          <c:val>
            <c:numRef>
              <c:f>Finance_Data!$E$3:$E$11</c:f>
              <c:numCache>
                <c:formatCode>General</c:formatCode>
                <c:ptCount val="9"/>
                <c:pt idx="0">
                  <c:v>34442</c:v>
                </c:pt>
                <c:pt idx="1">
                  <c:v>27213</c:v>
                </c:pt>
                <c:pt idx="2">
                  <c:v>29743</c:v>
                </c:pt>
                <c:pt idx="3">
                  <c:v>46251</c:v>
                </c:pt>
                <c:pt idx="4">
                  <c:v>23527</c:v>
                </c:pt>
                <c:pt idx="5">
                  <c:v>79875</c:v>
                </c:pt>
                <c:pt idx="6">
                  <c:v>26993</c:v>
                </c:pt>
                <c:pt idx="7">
                  <c:v>57026</c:v>
                </c:pt>
                <c:pt idx="8">
                  <c:v>36500</c:v>
                </c:pt>
              </c:numCache>
            </c:numRef>
          </c:val>
          <c:extLst>
            <c:ext xmlns:c16="http://schemas.microsoft.com/office/drawing/2014/chart" uri="{C3380CC4-5D6E-409C-BE32-E72D297353CC}">
              <c16:uniqueId val="{00000001-DF31-4859-8A48-CC848C8BEF86}"/>
            </c:ext>
          </c:extLst>
        </c:ser>
        <c:dLbls>
          <c:showLegendKey val="0"/>
          <c:showVal val="0"/>
          <c:showCatName val="0"/>
          <c:showSerName val="0"/>
          <c:showPercent val="0"/>
          <c:showBubbleSize val="0"/>
        </c:dLbls>
        <c:gapWidth val="182"/>
        <c:axId val="727587983"/>
        <c:axId val="490438095"/>
      </c:barChart>
      <c:catAx>
        <c:axId val="72758798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38095"/>
        <c:crosses val="autoZero"/>
        <c:auto val="1"/>
        <c:lblAlgn val="ctr"/>
        <c:lblOffset val="100"/>
        <c:noMultiLvlLbl val="0"/>
      </c:catAx>
      <c:valAx>
        <c:axId val="49043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8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Summed Revenue Of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Summed Revenue Of Products</a:t>
          </a:r>
        </a:p>
      </cx:txPr>
    </cx:title>
    <cx:plotArea>
      <cx:plotAreaRegion>
        <cx:series layoutId="clusteredColumn" uniqueId="{00000000-E4DA-4308-9A95-262BEDC0963E}">
          <cx:tx>
            <cx:txData>
              <cx:f>_xlchart.v1.1</cx:f>
              <cx:v>Sum of Revenue</cx:v>
            </cx:txData>
          </cx:tx>
          <cx:dataId val="0"/>
          <cx:layoutPr>
            <cx:aggregation/>
          </cx:layoutPr>
          <cx:axisId val="1"/>
        </cx:series>
        <cx:series layoutId="paretoLine" ownerIdx="0" uniqueId="{EFDADA06-0B50-4E25-AB51-58C28C5E40DB}">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plotArea>
      <cx:plotAreaRegion>
        <cx:series layoutId="clusteredColumn" uniqueId="{00000000-E4DA-4308-9A95-262BEDC0963E}">
          <cx:tx>
            <cx:txData>
              <cx:f>_xlchart.v1.13</cx:f>
              <cx:v>Sum of Revenue</cx:v>
            </cx:txData>
          </cx:tx>
          <cx:dataId val="0"/>
          <cx:layoutPr>
            <cx:aggregation/>
          </cx:layoutPr>
          <cx:axisId val="1"/>
        </cx:series>
        <cx:series layoutId="paretoLine" ownerIdx="0" uniqueId="{EFDADA06-0B50-4E25-AB51-58C28C5E40DB}">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206375</xdr:colOff>
      <xdr:row>1</xdr:row>
      <xdr:rowOff>38100</xdr:rowOff>
    </xdr:from>
    <xdr:to>
      <xdr:col>9</xdr:col>
      <xdr:colOff>206375</xdr:colOff>
      <xdr:row>15</xdr:row>
      <xdr:rowOff>9525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949094C-2969-A2A1-9CD3-BF16B942B0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19725" y="222250"/>
              <a:ext cx="1828800" cy="25495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1</xdr:row>
      <xdr:rowOff>0</xdr:rowOff>
    </xdr:from>
    <xdr:to>
      <xdr:col>13</xdr:col>
      <xdr:colOff>133350</xdr:colOff>
      <xdr:row>14</xdr:row>
      <xdr:rowOff>130175</xdr:rowOff>
    </xdr:to>
    <mc:AlternateContent xmlns:mc="http://schemas.openxmlformats.org/markup-compatibility/2006">
      <mc:Choice xmlns:a14="http://schemas.microsoft.com/office/drawing/2010/main" Requires="a14">
        <xdr:graphicFrame macro="">
          <xdr:nvGraphicFramePr>
            <xdr:cNvPr id="3" name=" Product Category">
              <a:extLst>
                <a:ext uri="{FF2B5EF4-FFF2-40B4-BE49-F238E27FC236}">
                  <a16:creationId xmlns:a16="http://schemas.microsoft.com/office/drawing/2014/main" id="{BD70190C-833D-D260-C5EE-2AAF32B54B08}"/>
                </a:ext>
              </a:extLst>
            </xdr:cNvPr>
            <xdr:cNvGraphicFramePr/>
          </xdr:nvGraphicFramePr>
          <xdr:xfrm>
            <a:off x="0" y="0"/>
            <a:ext cx="0" cy="0"/>
          </xdr:xfrm>
          <a:graphic>
            <a:graphicData uri="http://schemas.microsoft.com/office/drawing/2010/slicer">
              <sle:slicer xmlns:sle="http://schemas.microsoft.com/office/drawing/2010/slicer" name=" Product Category"/>
            </a:graphicData>
          </a:graphic>
        </xdr:graphicFrame>
      </mc:Choice>
      <mc:Fallback>
        <xdr:sp macro="" textlink="">
          <xdr:nvSpPr>
            <xdr:cNvPr id="0" name=""/>
            <xdr:cNvSpPr>
              <a:spLocks noTextEdit="1"/>
            </xdr:cNvSpPr>
          </xdr:nvSpPr>
          <xdr:spPr>
            <a:xfrm>
              <a:off x="7785100" y="1841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584200</xdr:colOff>
      <xdr:row>1</xdr:row>
      <xdr:rowOff>57150</xdr:rowOff>
    </xdr:from>
    <xdr:to>
      <xdr:col>19</xdr:col>
      <xdr:colOff>260350</xdr:colOff>
      <xdr:row>8</xdr:row>
      <xdr:rowOff>139700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94EF4B6D-67C8-A3D5-3C83-315D21142F8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064750" y="241300"/>
              <a:ext cx="333375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0</xdr:col>
      <xdr:colOff>133350</xdr:colOff>
      <xdr:row>10</xdr:row>
      <xdr:rowOff>6350</xdr:rowOff>
    </xdr:from>
    <xdr:to>
      <xdr:col>4</xdr:col>
      <xdr:colOff>584200</xdr:colOff>
      <xdr:row>26</xdr:row>
      <xdr:rowOff>50800</xdr:rowOff>
    </xdr:to>
    <xdr:graphicFrame macro="">
      <xdr:nvGraphicFramePr>
        <xdr:cNvPr id="5" name="Chart 4">
          <a:extLst>
            <a:ext uri="{FF2B5EF4-FFF2-40B4-BE49-F238E27FC236}">
              <a16:creationId xmlns:a16="http://schemas.microsoft.com/office/drawing/2014/main" id="{6720CC2F-C2E1-C006-CA56-3AC501A9F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3</xdr:row>
      <xdr:rowOff>12700</xdr:rowOff>
    </xdr:from>
    <xdr:to>
      <xdr:col>3</xdr:col>
      <xdr:colOff>1238250</xdr:colOff>
      <xdr:row>19</xdr:row>
      <xdr:rowOff>57150</xdr:rowOff>
    </xdr:to>
    <xdr:graphicFrame macro="">
      <xdr:nvGraphicFramePr>
        <xdr:cNvPr id="3" name="Chart 2">
          <a:extLst>
            <a:ext uri="{FF2B5EF4-FFF2-40B4-BE49-F238E27FC236}">
              <a16:creationId xmlns:a16="http://schemas.microsoft.com/office/drawing/2014/main" id="{7EE82A66-823F-4E71-8B68-C6152B76E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1631950</xdr:colOff>
      <xdr:row>3</xdr:row>
      <xdr:rowOff>19050</xdr:rowOff>
    </xdr:from>
    <xdr:to>
      <xdr:col>8</xdr:col>
      <xdr:colOff>517525</xdr:colOff>
      <xdr:row>19</xdr:row>
      <xdr:rowOff>50800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C3EFE23-57E2-4046-BABA-81D5F80E9E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65700" y="571500"/>
              <a:ext cx="4981575" cy="297815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203200</xdr:colOff>
      <xdr:row>3</xdr:row>
      <xdr:rowOff>0</xdr:rowOff>
    </xdr:from>
    <xdr:to>
      <xdr:col>20</xdr:col>
      <xdr:colOff>9525</xdr:colOff>
      <xdr:row>20</xdr:row>
      <xdr:rowOff>133350</xdr:rowOff>
    </xdr:to>
    <xdr:graphicFrame macro="">
      <xdr:nvGraphicFramePr>
        <xdr:cNvPr id="5" name="Chart 4">
          <a:extLst>
            <a:ext uri="{FF2B5EF4-FFF2-40B4-BE49-F238E27FC236}">
              <a16:creationId xmlns:a16="http://schemas.microsoft.com/office/drawing/2014/main" id="{ECEC05AA-45F4-4D79-BA11-FF458C556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127000</xdr:colOff>
      <xdr:row>21</xdr:row>
      <xdr:rowOff>12700</xdr:rowOff>
    </xdr:from>
    <xdr:to>
      <xdr:col>1</xdr:col>
      <xdr:colOff>647700</xdr:colOff>
      <xdr:row>34</xdr:row>
      <xdr:rowOff>168275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1EF06132-0238-4A61-AA16-7CD40363DBD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7000" y="3879850"/>
              <a:ext cx="1828800" cy="25495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222250</xdr:colOff>
      <xdr:row>21</xdr:row>
      <xdr:rowOff>6350</xdr:rowOff>
    </xdr:from>
    <xdr:to>
      <xdr:col>3</xdr:col>
      <xdr:colOff>755650</xdr:colOff>
      <xdr:row>34</xdr:row>
      <xdr:rowOff>136525</xdr:rowOff>
    </xdr:to>
    <mc:AlternateContent xmlns:mc="http://schemas.openxmlformats.org/markup-compatibility/2006">
      <mc:Choice xmlns:a14="http://schemas.microsoft.com/office/drawing/2010/main" Requires="a14">
        <xdr:graphicFrame macro="">
          <xdr:nvGraphicFramePr>
            <xdr:cNvPr id="7" name=" Product Category 1">
              <a:extLst>
                <a:ext uri="{FF2B5EF4-FFF2-40B4-BE49-F238E27FC236}">
                  <a16:creationId xmlns:a16="http://schemas.microsoft.com/office/drawing/2014/main" id="{16DAAC91-45CE-47EA-A8F8-73DCEBD866D8}"/>
                </a:ext>
              </a:extLst>
            </xdr:cNvPr>
            <xdr:cNvGraphicFramePr/>
          </xdr:nvGraphicFramePr>
          <xdr:xfrm>
            <a:off x="0" y="0"/>
            <a:ext cx="0" cy="0"/>
          </xdr:xfrm>
          <a:graphic>
            <a:graphicData uri="http://schemas.microsoft.com/office/drawing/2010/slicer">
              <sle:slicer xmlns:sle="http://schemas.microsoft.com/office/drawing/2010/slicer" name=" Product Category 1"/>
            </a:graphicData>
          </a:graphic>
        </xdr:graphicFrame>
      </mc:Choice>
      <mc:Fallback>
        <xdr:sp macro="" textlink="">
          <xdr:nvSpPr>
            <xdr:cNvPr id="0" name=""/>
            <xdr:cNvSpPr>
              <a:spLocks noTextEdit="1"/>
            </xdr:cNvSpPr>
          </xdr:nvSpPr>
          <xdr:spPr>
            <a:xfrm>
              <a:off x="2768600" y="38735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1631950</xdr:colOff>
      <xdr:row>21</xdr:row>
      <xdr:rowOff>44450</xdr:rowOff>
    </xdr:from>
    <xdr:to>
      <xdr:col>9</xdr:col>
      <xdr:colOff>273050</xdr:colOff>
      <xdr:row>28</xdr:row>
      <xdr:rowOff>127000</xdr:rowOff>
    </xdr:to>
    <mc:AlternateContent xmlns:mc="http://schemas.openxmlformats.org/markup-compatibility/2006">
      <mc:Choice xmlns:tsle="http://schemas.microsoft.com/office/drawing/2012/timeslicer" Requires="tsle">
        <xdr:graphicFrame macro="">
          <xdr:nvGraphicFramePr>
            <xdr:cNvPr id="8" name="Date 1">
              <a:extLst>
                <a:ext uri="{FF2B5EF4-FFF2-40B4-BE49-F238E27FC236}">
                  <a16:creationId xmlns:a16="http://schemas.microsoft.com/office/drawing/2014/main" id="{AEBCF2DA-2B86-4168-AF7B-2AC1FABE198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473700" y="3911600"/>
              <a:ext cx="333375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492124</xdr:colOff>
      <xdr:row>1</xdr:row>
      <xdr:rowOff>165100</xdr:rowOff>
    </xdr:from>
    <xdr:to>
      <xdr:col>13</xdr:col>
      <xdr:colOff>596899</xdr:colOff>
      <xdr:row>18</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F3E4155-6FDD-0034-9A48-D24256AB2E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87824" y="349250"/>
              <a:ext cx="4981575" cy="297815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473075</xdr:colOff>
      <xdr:row>1</xdr:row>
      <xdr:rowOff>38100</xdr:rowOff>
    </xdr:from>
    <xdr:to>
      <xdr:col>15</xdr:col>
      <xdr:colOff>279400</xdr:colOff>
      <xdr:row>18</xdr:row>
      <xdr:rowOff>171450</xdr:rowOff>
    </xdr:to>
    <xdr:graphicFrame macro="">
      <xdr:nvGraphicFramePr>
        <xdr:cNvPr id="2" name="Chart 1">
          <a:extLst>
            <a:ext uri="{FF2B5EF4-FFF2-40B4-BE49-F238E27FC236}">
              <a16:creationId xmlns:a16="http://schemas.microsoft.com/office/drawing/2014/main" id="{DB98EF78-5358-3209-6F1E-3CF797864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0.934411458336" createdVersion="8" refreshedVersion="8" minRefreshableVersion="3" recordCount="90" xr:uid="{F8712ED6-CEA7-43F4-81EA-3046116F807C}">
  <cacheSource type="worksheet">
    <worksheetSource ref="A1:U91" sheet="Sales_All"/>
  </cacheSource>
  <cacheFields count="22">
    <cacheField name="OrderID" numFmtId="0">
      <sharedItems/>
    </cacheField>
    <cacheField name="Date" numFmtId="164">
      <sharedItems containsSemiMixedTypes="0" containsNonDate="0" containsDate="1" containsString="0" minDate="2025-01-03T04:18:37" maxDate="2025-09-26T13:57:30" count="90">
        <d v="2025-02-20T00:39:01"/>
        <d v="2025-02-24T05:40:59"/>
        <d v="2025-03-20T06:26:20"/>
        <d v="2025-02-15T13:42:32"/>
        <d v="2025-01-06T16:27:43"/>
        <d v="2025-02-28T05:26:33"/>
        <d v="2025-03-19T02:47:39"/>
        <d v="2025-02-19T09:27:33"/>
        <d v="2025-01-14T11:55:59"/>
        <d v="2025-03-27T04:51:12"/>
        <d v="2025-01-27T22:17:52"/>
        <d v="2025-01-05T18:57:05"/>
        <d v="2025-02-05T11:02:36"/>
        <d v="2025-03-01T06:05:59"/>
        <d v="2025-01-15T01:44:38"/>
        <d v="2025-03-26T20:57:22"/>
        <d v="2025-01-31T05:07:32"/>
        <d v="2025-03-02T22:23:58"/>
        <d v="2025-02-08T10:50:13"/>
        <d v="2025-03-22T19:35:46"/>
        <d v="2025-02-25T05:04:20"/>
        <d v="2025-03-07T23:28:11"/>
        <d v="2025-01-05T15:34:20"/>
        <d v="2025-02-27T21:04:42"/>
        <d v="2025-02-22T18:31:56"/>
        <d v="2025-01-03T04:18:37"/>
        <d v="2025-03-02T04:31:10"/>
        <d v="2025-01-28T02:57:54"/>
        <d v="2025-03-06T02:03:03"/>
        <d v="2025-01-09T15:03:51"/>
        <d v="2025-04-23T06:31:04"/>
        <d v="2025-06-13T23:38:55"/>
        <d v="2025-04-27T14:59:57"/>
        <d v="2025-05-12T11:25:10"/>
        <d v="2025-04-24T02:44:59"/>
        <d v="2025-06-25T22:21:06"/>
        <d v="2025-04-19T14:18:51"/>
        <d v="2025-04-23T04:00:40"/>
        <d v="2025-04-12T03:09:59"/>
        <d v="2025-04-13T18:14:58"/>
        <d v="2025-04-07T10:51:29"/>
        <d v="2025-06-15T17:46:07"/>
        <d v="2025-06-19T09:22:19"/>
        <d v="2025-04-07T11:30:29"/>
        <d v="2025-05-11T06:16:15"/>
        <d v="2025-05-12T02:06:55"/>
        <d v="2025-05-10T19:31:43"/>
        <d v="2025-05-30T18:22:18"/>
        <d v="2025-04-02T23:49:16"/>
        <d v="2025-06-08T20:48:39"/>
        <d v="2025-06-27T20:38:27"/>
        <d v="2025-04-26T13:34:30"/>
        <d v="2025-05-13T17:23:54"/>
        <d v="2025-05-13T01:27:07"/>
        <d v="2025-05-20T22:05:39"/>
        <d v="2025-04-09T21:25:59"/>
        <d v="2025-05-05T01:55:50"/>
        <d v="2025-04-23T20:24:10"/>
        <d v="2025-06-03T21:35:29"/>
        <d v="2025-04-05T18:47:22"/>
        <d v="2025-07-01T19:52:10"/>
        <d v="2025-07-21T11:59:20"/>
        <d v="2025-08-25T12:07:21"/>
        <d v="2025-07-06T05:37:07"/>
        <d v="2025-07-12T16:09:44"/>
        <d v="2025-08-22T18:59:12"/>
        <d v="2025-08-17T07:43:17"/>
        <d v="2025-07-19T08:02:05"/>
        <d v="2025-09-14T07:32:35"/>
        <d v="2025-09-26T13:57:30"/>
        <d v="2025-08-28T03:43:39"/>
        <d v="2025-07-30T02:18:33"/>
        <d v="2025-09-16T22:58:49"/>
        <d v="2025-07-11T12:28:58"/>
        <d v="2025-08-04T02:22:47"/>
        <d v="2025-09-26T05:20:38"/>
        <d v="2025-09-06T10:37:20"/>
        <d v="2025-09-11T18:57:24"/>
        <d v="2025-07-29T19:10:36"/>
        <d v="2025-08-11T16:50:37"/>
        <d v="2025-09-26T05:54:47"/>
        <d v="2025-07-03T08:25:50"/>
        <d v="2025-08-05T02:56:56"/>
        <d v="2025-08-06T10:48:58"/>
        <d v="2025-08-26T20:17:21"/>
        <d v="2025-07-20T08:37:46"/>
        <d v="2025-07-24T13:05:26"/>
        <d v="2025-07-23T06:59:14"/>
        <d v="2025-08-20T15:47:14"/>
        <d v="2025-08-29T06:12:15"/>
      </sharedItems>
    </cacheField>
    <cacheField name="Region" numFmtId="0">
      <sharedItems count="4">
        <s v="South"/>
        <s v="West"/>
        <s v="East"/>
        <s v="North"/>
      </sharedItems>
    </cacheField>
    <cacheField name="CustomerID" numFmtId="0">
      <sharedItems containsSemiMixedTypes="0" containsString="0" containsNumber="1" containsInteger="1" minValue="1001" maxValue="1020"/>
    </cacheField>
    <cacheField name="Product" numFmtId="0">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09" maxValue="1987"/>
    </cacheField>
    <cacheField name=" Product Category" numFmtId="0">
      <sharedItems count="3">
        <s v="Electronics"/>
        <s v="Accessories"/>
        <s v="Office"/>
      </sharedItems>
    </cacheField>
    <cacheField name="Unit Cost" numFmtId="0">
      <sharedItems containsSemiMixedTypes="0" containsString="0" containsNumber="1" containsInteger="1" minValue="97" maxValue="492"/>
    </cacheField>
    <cacheField name="Discount%" numFmtId="0">
      <sharedItems containsSemiMixedTypes="0" containsString="0" containsNumber="1" minValue="0.08" maxValue="0.23"/>
    </cacheField>
    <cacheField name="Revenue" numFmtId="0">
      <sharedItems containsSemiMixedTypes="0" containsString="0" containsNumber="1" containsInteger="1" minValue="218" maxValue="17784"/>
    </cacheField>
    <cacheField name="Discounted Revenue" numFmtId="0">
      <sharedItems containsSemiMixedTypes="0" containsString="0" containsNumber="1" minValue="179.41" maxValue="15294.24"/>
    </cacheField>
    <cacheField name="Month Helper" numFmtId="0">
      <sharedItems containsSemiMixedTypes="0" containsString="0" containsNumber="1" containsInteger="1" minValue="45688" maxValue="45930"/>
    </cacheField>
    <cacheField name="Monthly Overhead" numFmtId="0">
      <sharedItems containsSemiMixedTypes="0" containsString="0" containsNumber="1" containsInteger="1" minValue="20079" maxValue="44423"/>
    </cacheField>
    <cacheField name="Orders This Month" numFmtId="0">
      <sharedItems containsSemiMixedTypes="0" containsString="0" containsNumber="1" containsInteger="1" minValue="7" maxValue="14"/>
    </cacheField>
    <cacheField name="Allocated Overhead" numFmtId="0">
      <sharedItems containsSemiMixedTypes="0" containsString="0" containsNumber="1" minValue="2564" maxValue="4894.2857142857147"/>
    </cacheField>
    <cacheField name="Profit" numFmtId="0">
      <sharedItems containsSemiMixedTypes="0" containsString="0" containsNumber="1" minValue="-6058.3333333333339" maxValue="9941.2999999999993"/>
    </cacheField>
    <cacheField name="Customer Total Revenue" numFmtId="0">
      <sharedItems containsSemiMixedTypes="0" containsString="0" containsNumber="1" containsInteger="1" minValue="5269" maxValue="38912"/>
    </cacheField>
    <cacheField name="Classificatin" numFmtId="0">
      <sharedItems count="2">
        <s v="Regular"/>
        <s v="Low Value"/>
      </sharedItems>
    </cacheField>
    <cacheField name="Index-Match" numFmtId="0">
      <sharedItems/>
    </cacheField>
    <cacheField name="Delivery Days" numFmtId="0">
      <sharedItems containsSemiMixedTypes="0" containsString="0" containsNumber="1" containsInteger="1" minValue="1" maxValue="9"/>
    </cacheField>
    <cacheField name="Profit Margin%" numFmtId="0" formula="Profit/Revenue" databaseField="0"/>
  </cacheFields>
  <extLst>
    <ext xmlns:x14="http://schemas.microsoft.com/office/spreadsheetml/2009/9/main" uri="{725AE2AE-9491-48be-B2B4-4EB974FC3084}">
      <x14:pivotCacheDefinition pivotCacheId="991853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i Molemane" refreshedDate="46241.440278240741" createdVersion="8" refreshedVersion="8" minRefreshableVersion="3" recordCount="90" xr:uid="{4F9A9E62-0684-4161-9053-A053DAD664B3}">
  <cacheSource type="worksheet">
    <worksheetSource ref="A1:W91" sheet="Sales_All"/>
  </cacheSource>
  <cacheFields count="23">
    <cacheField name="OrderID" numFmtId="0">
      <sharedItems/>
    </cacheField>
    <cacheField name="Date" numFmtId="164">
      <sharedItems containsSemiMixedTypes="0" containsNonDate="0" containsDate="1" containsString="0" minDate="2025-01-03T04:18:37" maxDate="2025-09-26T13:57:30"/>
    </cacheField>
    <cacheField name="Region" numFmtId="0">
      <sharedItems/>
    </cacheField>
    <cacheField name="CustomerID" numFmtId="0">
      <sharedItems containsSemiMixedTypes="0" containsString="0" containsNumber="1" containsInteger="1" minValue="1001" maxValue="1020"/>
    </cacheField>
    <cacheField name="Product" numFmtId="0">
      <sharedItems count="6">
        <s v="Tablet"/>
        <s v="Headphones"/>
        <s v="Monitor"/>
        <s v="Smartphone"/>
        <s v="Laptop"/>
        <s v="Printer"/>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09" maxValue="1987"/>
    </cacheField>
    <cacheField name=" Product Category" numFmtId="0">
      <sharedItems/>
    </cacheField>
    <cacheField name="Unit Cost" numFmtId="0">
      <sharedItems containsSemiMixedTypes="0" containsString="0" containsNumber="1" containsInteger="1" minValue="97" maxValue="492"/>
    </cacheField>
    <cacheField name="Discount%" numFmtId="0">
      <sharedItems containsSemiMixedTypes="0" containsString="0" containsNumber="1" minValue="0.08" maxValue="0.23"/>
    </cacheField>
    <cacheField name="Revenue" numFmtId="0">
      <sharedItems containsSemiMixedTypes="0" containsString="0" containsNumber="1" containsInteger="1" minValue="218" maxValue="17784"/>
    </cacheField>
    <cacheField name="Discounted Revenue" numFmtId="0">
      <sharedItems containsSemiMixedTypes="0" containsString="0" containsNumber="1" minValue="179.41" maxValue="15294.24"/>
    </cacheField>
    <cacheField name="Month Helper" numFmtId="0">
      <sharedItems containsSemiMixedTypes="0" containsString="0" containsNumber="1" containsInteger="1" minValue="45688" maxValue="45930"/>
    </cacheField>
    <cacheField name="Monthly Overhead" numFmtId="0">
      <sharedItems containsSemiMixedTypes="0" containsString="0" containsNumber="1" containsInteger="1" minValue="20079" maxValue="44423"/>
    </cacheField>
    <cacheField name="Orders This Month" numFmtId="0">
      <sharedItems containsSemiMixedTypes="0" containsString="0" containsNumber="1" containsInteger="1" minValue="7" maxValue="14"/>
    </cacheField>
    <cacheField name="Allocated Overhead" numFmtId="0">
      <sharedItems containsSemiMixedTypes="0" containsString="0" containsNumber="1" minValue="2564" maxValue="4894.2857142857147"/>
    </cacheField>
    <cacheField name="Profit" numFmtId="0">
      <sharedItems containsSemiMixedTypes="0" containsString="0" containsNumber="1" minValue="-6058.3333333333339" maxValue="9941.2999999999993"/>
    </cacheField>
    <cacheField name="Customer Total Revenue" numFmtId="0">
      <sharedItems containsSemiMixedTypes="0" containsString="0" containsNumber="1" containsInteger="1" minValue="5269" maxValue="38912"/>
    </cacheField>
    <cacheField name="Classificatin" numFmtId="0">
      <sharedItems/>
    </cacheField>
    <cacheField name="Index-Match" numFmtId="0">
      <sharedItems/>
    </cacheField>
    <cacheField name="Delivery Days" numFmtId="0">
      <sharedItems containsSemiMixedTypes="0" containsString="0" containsNumber="1" containsInteger="1" minValue="1" maxValue="9"/>
    </cacheField>
    <cacheField name="Field22" caption="Field22" numFmtId="0">
      <sharedItems containsNonDate="0" containsString="0" containsBlank="1"/>
    </cacheField>
    <cacheField name="Return Rate" numFmtId="0">
      <sharedItems containsSemiMixedTypes="0" containsString="0" containsNumber="1" minValue="0" maxValue="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Q1-001"/>
    <x v="0"/>
    <x v="0"/>
    <n v="1018"/>
    <s v="Tablet"/>
    <n v="1"/>
    <n v="730"/>
    <x v="0"/>
    <n v="492"/>
    <n v="0.14000000000000001"/>
    <n v="730"/>
    <n v="627.79999999999995"/>
    <n v="45716"/>
    <n v="43320"/>
    <n v="10"/>
    <n v="4332"/>
    <n v="-4094"/>
    <n v="31997"/>
    <x v="0"/>
    <s v="Accessories"/>
    <n v="5"/>
  </r>
  <r>
    <s v="Q1-002"/>
    <x v="1"/>
    <x v="0"/>
    <n v="1004"/>
    <s v="Headphones"/>
    <n v="3"/>
    <n v="378"/>
    <x v="1"/>
    <n v="323"/>
    <n v="0.1"/>
    <n v="1134"/>
    <n v="1020.6"/>
    <n v="45716"/>
    <n v="43320"/>
    <n v="10"/>
    <n v="4332"/>
    <n v="-4167"/>
    <n v="8004"/>
    <x v="1"/>
    <s v="Electronics"/>
    <n v="2"/>
  </r>
  <r>
    <s v="Q1-003"/>
    <x v="2"/>
    <x v="1"/>
    <n v="1005"/>
    <s v="Monitor"/>
    <n v="1"/>
    <n v="585"/>
    <x v="0"/>
    <n v="463"/>
    <n v="0.23"/>
    <n v="585"/>
    <n v="450.45"/>
    <n v="45747"/>
    <n v="34147"/>
    <n v="10"/>
    <n v="3414.7"/>
    <n v="-3292.7"/>
    <n v="24821"/>
    <x v="0"/>
    <s v="Electronics"/>
    <n v="6"/>
  </r>
  <r>
    <s v="Q1-004"/>
    <x v="3"/>
    <x v="2"/>
    <n v="1018"/>
    <s v="Smartphone"/>
    <n v="8"/>
    <n v="726"/>
    <x v="0"/>
    <n v="97"/>
    <n v="0.08"/>
    <n v="5808"/>
    <n v="5343.3600000000006"/>
    <n v="45716"/>
    <n v="43320"/>
    <n v="10"/>
    <n v="4332"/>
    <n v="700"/>
    <n v="31997"/>
    <x v="0"/>
    <s v="Electronics"/>
    <n v="4"/>
  </r>
  <r>
    <s v="Q1-005"/>
    <x v="4"/>
    <x v="3"/>
    <n v="1012"/>
    <s v="Laptop"/>
    <n v="2"/>
    <n v="709"/>
    <x v="0"/>
    <n v="469"/>
    <n v="0.22"/>
    <n v="1418"/>
    <n v="1106.04"/>
    <n v="45688"/>
    <n v="25640"/>
    <n v="10"/>
    <n v="2564"/>
    <n v="-2084"/>
    <n v="8379"/>
    <x v="1"/>
    <s v="Electronics"/>
    <n v="5"/>
  </r>
  <r>
    <s v="Q1-006"/>
    <x v="5"/>
    <x v="2"/>
    <n v="1013"/>
    <s v="Laptop"/>
    <n v="8"/>
    <n v="1817"/>
    <x v="0"/>
    <n v="469"/>
    <n v="0.22"/>
    <n v="14536"/>
    <n v="11338.08"/>
    <n v="45716"/>
    <n v="43320"/>
    <n v="10"/>
    <n v="4332"/>
    <n v="6452"/>
    <n v="17364"/>
    <x v="1"/>
    <s v="Electronics"/>
    <n v="5"/>
  </r>
  <r>
    <s v="Q1-007"/>
    <x v="6"/>
    <x v="0"/>
    <n v="1017"/>
    <s v="Tablet"/>
    <n v="9"/>
    <n v="1976"/>
    <x v="0"/>
    <n v="492"/>
    <n v="0.14000000000000001"/>
    <n v="17784"/>
    <n v="15294.24"/>
    <n v="45747"/>
    <n v="34147"/>
    <n v="10"/>
    <n v="3414.7"/>
    <n v="9941.2999999999993"/>
    <n v="38912"/>
    <x v="0"/>
    <s v="Electronics"/>
    <n v="4"/>
  </r>
  <r>
    <s v="Q1-008"/>
    <x v="7"/>
    <x v="0"/>
    <n v="1014"/>
    <s v="Tablet"/>
    <n v="5"/>
    <n v="1134"/>
    <x v="0"/>
    <n v="492"/>
    <n v="0.14000000000000001"/>
    <n v="5670"/>
    <n v="4876.2"/>
    <n v="45716"/>
    <n v="43320"/>
    <n v="10"/>
    <n v="4332"/>
    <n v="-1122"/>
    <n v="31571"/>
    <x v="0"/>
    <s v="Office"/>
    <n v="8"/>
  </r>
  <r>
    <s v="Q1-009"/>
    <x v="8"/>
    <x v="0"/>
    <n v="1020"/>
    <s v="Printer"/>
    <n v="1"/>
    <n v="1220"/>
    <x v="2"/>
    <n v="136"/>
    <n v="0.1"/>
    <n v="1220"/>
    <n v="1098"/>
    <n v="45688"/>
    <n v="25640"/>
    <n v="10"/>
    <n v="2564"/>
    <n v="-1480"/>
    <n v="21494"/>
    <x v="0"/>
    <s v="Accessories"/>
    <n v="2"/>
  </r>
  <r>
    <s v="Q1-010"/>
    <x v="9"/>
    <x v="1"/>
    <n v="1010"/>
    <s v="Headphones"/>
    <n v="2"/>
    <n v="283"/>
    <x v="1"/>
    <n v="323"/>
    <n v="0.1"/>
    <n v="566"/>
    <n v="509.40000000000003"/>
    <n v="45747"/>
    <n v="34147"/>
    <n v="10"/>
    <n v="3414.7"/>
    <n v="-3494.7"/>
    <n v="23446"/>
    <x v="0"/>
    <s v="Electronics"/>
    <n v="2"/>
  </r>
  <r>
    <s v="Q1-011"/>
    <x v="10"/>
    <x v="1"/>
    <n v="1019"/>
    <s v="Laptop"/>
    <n v="9"/>
    <n v="417"/>
    <x v="0"/>
    <n v="469"/>
    <n v="0.22"/>
    <n v="3753"/>
    <n v="2927.34"/>
    <n v="45688"/>
    <n v="25640"/>
    <n v="10"/>
    <n v="2564"/>
    <n v="-3032"/>
    <n v="20633"/>
    <x v="0"/>
    <s v="Electronics"/>
    <n v="8"/>
  </r>
  <r>
    <s v="Q1-012"/>
    <x v="11"/>
    <x v="0"/>
    <n v="1016"/>
    <s v="Laptop"/>
    <n v="3"/>
    <n v="1692"/>
    <x v="0"/>
    <n v="469"/>
    <n v="0.22"/>
    <n v="5076"/>
    <n v="3959.28"/>
    <n v="45688"/>
    <n v="25640"/>
    <n v="10"/>
    <n v="2564"/>
    <n v="1105"/>
    <n v="22009"/>
    <x v="0"/>
    <s v="Office"/>
    <n v="8"/>
  </r>
  <r>
    <s v="Q1-013"/>
    <x v="12"/>
    <x v="2"/>
    <n v="1001"/>
    <s v="Printer"/>
    <n v="4"/>
    <n v="1853"/>
    <x v="2"/>
    <n v="136"/>
    <n v="0.1"/>
    <n v="7412"/>
    <n v="6670.8"/>
    <n v="45716"/>
    <n v="43320"/>
    <n v="10"/>
    <n v="4332"/>
    <n v="2536"/>
    <n v="23279"/>
    <x v="0"/>
    <s v="Office"/>
    <n v="1"/>
  </r>
  <r>
    <s v="Q1-014"/>
    <x v="13"/>
    <x v="0"/>
    <n v="1005"/>
    <s v="Printer"/>
    <n v="2"/>
    <n v="505"/>
    <x v="2"/>
    <n v="136"/>
    <n v="0.1"/>
    <n v="1010"/>
    <n v="909"/>
    <n v="45747"/>
    <n v="34147"/>
    <n v="10"/>
    <n v="3414.7"/>
    <n v="-2676.7"/>
    <n v="24821"/>
    <x v="0"/>
    <s v="Electronics"/>
    <n v="3"/>
  </r>
  <r>
    <s v="Q1-015"/>
    <x v="14"/>
    <x v="0"/>
    <n v="1016"/>
    <s v="Monitor"/>
    <n v="3"/>
    <n v="1355"/>
    <x v="0"/>
    <n v="463"/>
    <n v="0.23"/>
    <n v="4065"/>
    <n v="3130.05"/>
    <n v="45688"/>
    <n v="25640"/>
    <n v="10"/>
    <n v="2564"/>
    <n v="112"/>
    <n v="22009"/>
    <x v="0"/>
    <s v="Office"/>
    <n v="4"/>
  </r>
  <r>
    <s v="Q1-016"/>
    <x v="15"/>
    <x v="3"/>
    <n v="1003"/>
    <s v="Printer"/>
    <n v="8"/>
    <n v="1220"/>
    <x v="2"/>
    <n v="136"/>
    <n v="0.1"/>
    <n v="9760"/>
    <n v="8784"/>
    <n v="45747"/>
    <n v="34147"/>
    <n v="10"/>
    <n v="3414.7"/>
    <n v="5257.3"/>
    <n v="31251"/>
    <x v="0"/>
    <s v="Electronics"/>
    <n v="3"/>
  </r>
  <r>
    <s v="Q1-017"/>
    <x v="16"/>
    <x v="3"/>
    <n v="1008"/>
    <s v="Smartphone"/>
    <n v="3"/>
    <n v="605"/>
    <x v="0"/>
    <n v="97"/>
    <n v="0.08"/>
    <n v="1815"/>
    <n v="1669.8000000000002"/>
    <n v="45688"/>
    <n v="25640"/>
    <n v="10"/>
    <n v="2564"/>
    <n v="-1040"/>
    <n v="5269"/>
    <x v="1"/>
    <s v="Electronics"/>
    <n v="6"/>
  </r>
  <r>
    <s v="Q1-018"/>
    <x v="17"/>
    <x v="0"/>
    <n v="1009"/>
    <s v="Monitor"/>
    <n v="7"/>
    <n v="1149"/>
    <x v="0"/>
    <n v="463"/>
    <n v="0.23"/>
    <n v="8043"/>
    <n v="6193.1100000000006"/>
    <n v="45747"/>
    <n v="34147"/>
    <n v="10"/>
    <n v="3414.7"/>
    <n v="1387.3000000000002"/>
    <n v="26022"/>
    <x v="0"/>
    <s v="Accessories"/>
    <n v="9"/>
  </r>
  <r>
    <s v="Q1-019"/>
    <x v="18"/>
    <x v="3"/>
    <n v="1010"/>
    <s v="Headphones"/>
    <n v="1"/>
    <n v="1621"/>
    <x v="1"/>
    <n v="323"/>
    <n v="0.1"/>
    <n v="1621"/>
    <n v="1458.9"/>
    <n v="45716"/>
    <n v="43320"/>
    <n v="10"/>
    <n v="4332"/>
    <n v="-3034"/>
    <n v="23446"/>
    <x v="0"/>
    <s v="Office"/>
    <n v="2"/>
  </r>
  <r>
    <s v="Q1-020"/>
    <x v="19"/>
    <x v="3"/>
    <n v="1004"/>
    <s v="Printer"/>
    <n v="3"/>
    <n v="1010"/>
    <x v="2"/>
    <n v="136"/>
    <n v="0.1"/>
    <n v="3030"/>
    <n v="2727"/>
    <n v="45747"/>
    <n v="34147"/>
    <n v="10"/>
    <n v="3414.7"/>
    <n v="-792.69999999999982"/>
    <n v="8004"/>
    <x v="1"/>
    <s v="Accessories"/>
    <n v="1"/>
  </r>
  <r>
    <s v="Q1-021"/>
    <x v="20"/>
    <x v="0"/>
    <n v="1008"/>
    <s v="Headphones"/>
    <n v="7"/>
    <n v="241"/>
    <x v="1"/>
    <n v="323"/>
    <n v="0.1"/>
    <n v="1687"/>
    <n v="1518.3"/>
    <n v="45716"/>
    <n v="43320"/>
    <n v="10"/>
    <n v="4332"/>
    <n v="-4906"/>
    <n v="5269"/>
    <x v="1"/>
    <s v="Office"/>
    <n v="8"/>
  </r>
  <r>
    <s v="Q1-022"/>
    <x v="21"/>
    <x v="1"/>
    <n v="1005"/>
    <s v="Printer"/>
    <n v="7"/>
    <n v="1336"/>
    <x v="2"/>
    <n v="136"/>
    <n v="0.1"/>
    <n v="9352"/>
    <n v="8416.8000000000011"/>
    <n v="45747"/>
    <n v="34147"/>
    <n v="10"/>
    <n v="3414.7"/>
    <n v="4985.3"/>
    <n v="24821"/>
    <x v="0"/>
    <s v="Electronics"/>
    <n v="7"/>
  </r>
  <r>
    <s v="Q1-023"/>
    <x v="22"/>
    <x v="1"/>
    <n v="1006"/>
    <s v="Laptop"/>
    <n v="3"/>
    <n v="1752"/>
    <x v="0"/>
    <n v="469"/>
    <n v="0.22"/>
    <n v="5256"/>
    <n v="4099.68"/>
    <n v="45688"/>
    <n v="25640"/>
    <n v="10"/>
    <n v="2564"/>
    <n v="1285"/>
    <n v="34295"/>
    <x v="0"/>
    <s v="Accessories"/>
    <n v="3"/>
  </r>
  <r>
    <s v="Q1-024"/>
    <x v="23"/>
    <x v="2"/>
    <n v="1020"/>
    <s v="Headphones"/>
    <n v="8"/>
    <n v="911"/>
    <x v="1"/>
    <n v="323"/>
    <n v="0.1"/>
    <n v="7288"/>
    <n v="6559.2"/>
    <n v="45716"/>
    <n v="43320"/>
    <n v="10"/>
    <n v="4332"/>
    <n v="372"/>
    <n v="21494"/>
    <x v="0"/>
    <s v="Electronics"/>
    <n v="1"/>
  </r>
  <r>
    <s v="Q1-025"/>
    <x v="24"/>
    <x v="0"/>
    <n v="1007"/>
    <s v="Monitor"/>
    <n v="8"/>
    <n v="1770"/>
    <x v="0"/>
    <n v="463"/>
    <n v="0.23"/>
    <n v="14160"/>
    <n v="10903.2"/>
    <n v="45716"/>
    <n v="43320"/>
    <n v="10"/>
    <n v="4332"/>
    <n v="6124"/>
    <n v="29517"/>
    <x v="0"/>
    <s v="Accessories"/>
    <n v="9"/>
  </r>
  <r>
    <s v="Q1-026"/>
    <x v="25"/>
    <x v="3"/>
    <n v="1009"/>
    <s v="Headphones"/>
    <n v="1"/>
    <n v="1841"/>
    <x v="1"/>
    <n v="323"/>
    <n v="0.1"/>
    <n v="1841"/>
    <n v="1656.9"/>
    <n v="45688"/>
    <n v="25640"/>
    <n v="10"/>
    <n v="2564"/>
    <n v="-1046"/>
    <n v="26022"/>
    <x v="0"/>
    <s v="Electronics"/>
    <n v="3"/>
  </r>
  <r>
    <s v="Q1-027"/>
    <x v="26"/>
    <x v="2"/>
    <n v="1001"/>
    <s v="Monitor"/>
    <n v="7"/>
    <n v="796"/>
    <x v="0"/>
    <n v="463"/>
    <n v="0.23"/>
    <n v="5572"/>
    <n v="4290.4400000000005"/>
    <n v="45747"/>
    <n v="34147"/>
    <n v="10"/>
    <n v="3414.7"/>
    <n v="-1083.6999999999998"/>
    <n v="23279"/>
    <x v="0"/>
    <s v="Electronics"/>
    <n v="6"/>
  </r>
  <r>
    <s v="Q1-028"/>
    <x v="27"/>
    <x v="1"/>
    <n v="1003"/>
    <s v="Monitor"/>
    <n v="6"/>
    <n v="1011"/>
    <x v="0"/>
    <n v="463"/>
    <n v="0.23"/>
    <n v="6066"/>
    <n v="4670.82"/>
    <n v="45688"/>
    <n v="25640"/>
    <n v="10"/>
    <n v="2564"/>
    <n v="724"/>
    <n v="31251"/>
    <x v="0"/>
    <s v="Office"/>
    <n v="2"/>
  </r>
  <r>
    <s v="Q1-029"/>
    <x v="28"/>
    <x v="1"/>
    <n v="1011"/>
    <s v="Printer"/>
    <n v="2"/>
    <n v="1660"/>
    <x v="2"/>
    <n v="136"/>
    <n v="0.1"/>
    <n v="3320"/>
    <n v="2988"/>
    <n v="45747"/>
    <n v="34147"/>
    <n v="10"/>
    <n v="3414.7"/>
    <n v="-366.69999999999982"/>
    <n v="17906"/>
    <x v="1"/>
    <s v="Electronics"/>
    <n v="9"/>
  </r>
  <r>
    <s v="Q1-030"/>
    <x v="29"/>
    <x v="2"/>
    <n v="1016"/>
    <s v="Monitor"/>
    <n v="5"/>
    <n v="1119"/>
    <x v="0"/>
    <n v="463"/>
    <n v="0.23"/>
    <n v="5595"/>
    <n v="4308.1500000000005"/>
    <n v="45688"/>
    <n v="25640"/>
    <n v="10"/>
    <n v="2564"/>
    <n v="716"/>
    <n v="22009"/>
    <x v="0"/>
    <s v="Electronics"/>
    <n v="2"/>
  </r>
  <r>
    <s v="Q2-001"/>
    <x v="30"/>
    <x v="3"/>
    <n v="1016"/>
    <s v="Tablet"/>
    <n v="7"/>
    <n v="1039"/>
    <x v="0"/>
    <n v="492"/>
    <n v="0.14000000000000001"/>
    <n v="7273"/>
    <n v="6254.78"/>
    <n v="45777"/>
    <n v="44423"/>
    <n v="14"/>
    <n v="3173.0714285714284"/>
    <n v="655.92857142857156"/>
    <n v="22009"/>
    <x v="0"/>
    <s v="Electronics"/>
    <n v="6"/>
  </r>
  <r>
    <s v="Q2-002"/>
    <x v="31"/>
    <x v="1"/>
    <n v="1010"/>
    <s v="Smartphone"/>
    <n v="2"/>
    <n v="809"/>
    <x v="0"/>
    <n v="97"/>
    <n v="0.08"/>
    <n v="1618"/>
    <n v="1488.5600000000002"/>
    <n v="45838"/>
    <n v="20079"/>
    <n v="7"/>
    <n v="2868.4285714285716"/>
    <n v="-1444.4285714285716"/>
    <n v="23446"/>
    <x v="0"/>
    <s v="Electronics"/>
    <n v="5"/>
  </r>
  <r>
    <s v="Q2-003"/>
    <x v="32"/>
    <x v="1"/>
    <n v="1014"/>
    <s v="Monitor"/>
    <n v="5"/>
    <n v="1951"/>
    <x v="0"/>
    <n v="463"/>
    <n v="0.23"/>
    <n v="9755"/>
    <n v="7511.35"/>
    <n v="45777"/>
    <n v="44423"/>
    <n v="14"/>
    <n v="3173.0714285714284"/>
    <n v="4266.9285714285716"/>
    <n v="31571"/>
    <x v="0"/>
    <s v="Electronics"/>
    <n v="3"/>
  </r>
  <r>
    <s v="Q2-004"/>
    <x v="33"/>
    <x v="0"/>
    <n v="1009"/>
    <s v="Smartphone"/>
    <n v="1"/>
    <n v="1187"/>
    <x v="0"/>
    <n v="97"/>
    <n v="0.08"/>
    <n v="1187"/>
    <n v="1092.04"/>
    <n v="45808"/>
    <n v="32119"/>
    <n v="9"/>
    <n v="3568.7777777777778"/>
    <n v="-2478.7777777777778"/>
    <n v="26022"/>
    <x v="0"/>
    <s v="Accessories"/>
    <n v="9"/>
  </r>
  <r>
    <s v="Q2-005"/>
    <x v="34"/>
    <x v="3"/>
    <n v="1018"/>
    <s v="Headphones"/>
    <n v="9"/>
    <n v="1259"/>
    <x v="1"/>
    <n v="323"/>
    <n v="0.1"/>
    <n v="11331"/>
    <n v="10197.9"/>
    <n v="45777"/>
    <n v="44423"/>
    <n v="14"/>
    <n v="3173.0714285714284"/>
    <n v="5250.9285714285716"/>
    <n v="31997"/>
    <x v="0"/>
    <s v="Electronics"/>
    <n v="4"/>
  </r>
  <r>
    <s v="Q2-006"/>
    <x v="35"/>
    <x v="3"/>
    <n v="1010"/>
    <s v="Monitor"/>
    <n v="6"/>
    <n v="1460"/>
    <x v="0"/>
    <n v="463"/>
    <n v="0.23"/>
    <n v="8760"/>
    <n v="6745.2"/>
    <n v="45838"/>
    <n v="20079"/>
    <n v="7"/>
    <n v="2868.4285714285716"/>
    <n v="3113.5714285714284"/>
    <n v="23446"/>
    <x v="0"/>
    <s v="Office"/>
    <n v="6"/>
  </r>
  <r>
    <s v="Q2-007"/>
    <x v="36"/>
    <x v="2"/>
    <n v="1010"/>
    <s v="Printer"/>
    <n v="5"/>
    <n v="1485"/>
    <x v="2"/>
    <n v="136"/>
    <n v="0.1"/>
    <n v="7425"/>
    <n v="6682.5"/>
    <n v="45777"/>
    <n v="44423"/>
    <n v="14"/>
    <n v="3173.0714285714284"/>
    <n v="3571.9285714285716"/>
    <n v="23446"/>
    <x v="0"/>
    <s v="Electronics"/>
    <n v="1"/>
  </r>
  <r>
    <s v="Q2-008"/>
    <x v="37"/>
    <x v="2"/>
    <n v="1015"/>
    <s v="Smartphone"/>
    <n v="3"/>
    <n v="1472"/>
    <x v="0"/>
    <n v="97"/>
    <n v="0.08"/>
    <n v="4416"/>
    <n v="4062.7200000000003"/>
    <n v="45777"/>
    <n v="44423"/>
    <n v="14"/>
    <n v="3173.0714285714284"/>
    <n v="951.92857142857156"/>
    <n v="10260"/>
    <x v="1"/>
    <s v="Electronics"/>
    <n v="4"/>
  </r>
  <r>
    <s v="Q2-009"/>
    <x v="38"/>
    <x v="1"/>
    <n v="1020"/>
    <s v="Laptop"/>
    <n v="8"/>
    <n v="1331"/>
    <x v="0"/>
    <n v="469"/>
    <n v="0.22"/>
    <n v="10648"/>
    <n v="8305.44"/>
    <n v="45777"/>
    <n v="44423"/>
    <n v="14"/>
    <n v="3173.0714285714284"/>
    <n v="3722.9285714285716"/>
    <n v="21494"/>
    <x v="0"/>
    <s v="Electronics"/>
    <n v="7"/>
  </r>
  <r>
    <s v="Q2-010"/>
    <x v="39"/>
    <x v="1"/>
    <n v="1001"/>
    <s v="Smartphone"/>
    <n v="2"/>
    <n v="222"/>
    <x v="0"/>
    <n v="97"/>
    <n v="0.08"/>
    <n v="444"/>
    <n v="408.48"/>
    <n v="45777"/>
    <n v="44423"/>
    <n v="14"/>
    <n v="3173.0714285714284"/>
    <n v="-2923.0714285714284"/>
    <n v="23279"/>
    <x v="0"/>
    <s v="Accessories"/>
    <n v="4"/>
  </r>
  <r>
    <s v="Q2-011"/>
    <x v="40"/>
    <x v="0"/>
    <n v="1012"/>
    <s v="Headphones"/>
    <n v="3"/>
    <n v="1781"/>
    <x v="1"/>
    <n v="323"/>
    <n v="0.1"/>
    <n v="5343"/>
    <n v="4808.7"/>
    <n v="45777"/>
    <n v="44423"/>
    <n v="14"/>
    <n v="3173.0714285714284"/>
    <n v="1200.9285714285716"/>
    <n v="8379"/>
    <x v="1"/>
    <s v="Accessories"/>
    <n v="5"/>
  </r>
  <r>
    <s v="Q2-012"/>
    <x v="41"/>
    <x v="1"/>
    <n v="1001"/>
    <s v="Headphones"/>
    <n v="2"/>
    <n v="1545"/>
    <x v="1"/>
    <n v="323"/>
    <n v="0.1"/>
    <n v="3090"/>
    <n v="2781"/>
    <n v="45838"/>
    <n v="20079"/>
    <n v="7"/>
    <n v="2868.4285714285716"/>
    <n v="-424.42857142857156"/>
    <n v="23279"/>
    <x v="0"/>
    <s v="Electronics"/>
    <n v="8"/>
  </r>
  <r>
    <s v="Q2-013"/>
    <x v="42"/>
    <x v="2"/>
    <n v="1019"/>
    <s v="Laptop"/>
    <n v="1"/>
    <n v="1437"/>
    <x v="0"/>
    <n v="469"/>
    <n v="0.22"/>
    <n v="1437"/>
    <n v="1120.8600000000001"/>
    <n v="45838"/>
    <n v="20079"/>
    <n v="7"/>
    <n v="2868.4285714285716"/>
    <n v="-1900.4285714285716"/>
    <n v="20633"/>
    <x v="0"/>
    <s v="Electronics"/>
    <n v="7"/>
  </r>
  <r>
    <s v="Q2-014"/>
    <x v="43"/>
    <x v="3"/>
    <n v="1009"/>
    <s v="Laptop"/>
    <n v="8"/>
    <n v="1539"/>
    <x v="0"/>
    <n v="469"/>
    <n v="0.22"/>
    <n v="12312"/>
    <n v="9603.36"/>
    <n v="45777"/>
    <n v="44423"/>
    <n v="14"/>
    <n v="3173.0714285714284"/>
    <n v="5386.9285714285716"/>
    <n v="26022"/>
    <x v="0"/>
    <s v="Office"/>
    <n v="4"/>
  </r>
  <r>
    <s v="Q2-015"/>
    <x v="44"/>
    <x v="3"/>
    <n v="1013"/>
    <s v="Printer"/>
    <n v="2"/>
    <n v="1414"/>
    <x v="2"/>
    <n v="136"/>
    <n v="0.1"/>
    <n v="2828"/>
    <n v="2545.2000000000003"/>
    <n v="45808"/>
    <n v="32119"/>
    <n v="9"/>
    <n v="3568.7777777777778"/>
    <n v="-1012.7777777777778"/>
    <n v="17364"/>
    <x v="1"/>
    <s v="Accessories"/>
    <n v="1"/>
  </r>
  <r>
    <s v="Q2-016"/>
    <x v="45"/>
    <x v="2"/>
    <n v="1011"/>
    <s v="Headphones"/>
    <n v="9"/>
    <n v="1076"/>
    <x v="1"/>
    <n v="323"/>
    <n v="0.1"/>
    <n v="9684"/>
    <n v="8715.6"/>
    <n v="45808"/>
    <n v="32119"/>
    <n v="9"/>
    <n v="3568.7777777777778"/>
    <n v="3208.2222222222222"/>
    <n v="17906"/>
    <x v="1"/>
    <s v="Office"/>
    <n v="5"/>
  </r>
  <r>
    <s v="Q2-017"/>
    <x v="46"/>
    <x v="3"/>
    <n v="1009"/>
    <s v="Printer"/>
    <n v="1"/>
    <n v="398"/>
    <x v="2"/>
    <n v="136"/>
    <n v="0.1"/>
    <n v="398"/>
    <n v="358.2"/>
    <n v="45808"/>
    <n v="32119"/>
    <n v="9"/>
    <n v="3568.7777777777778"/>
    <n v="-3306.7777777777778"/>
    <n v="26022"/>
    <x v="0"/>
    <s v="Accessories"/>
    <n v="5"/>
  </r>
  <r>
    <s v="Q2-018"/>
    <x v="47"/>
    <x v="2"/>
    <n v="1003"/>
    <s v="Headphones"/>
    <n v="8"/>
    <n v="1684"/>
    <x v="1"/>
    <n v="323"/>
    <n v="0.1"/>
    <n v="13472"/>
    <n v="12124.800000000001"/>
    <n v="45808"/>
    <n v="32119"/>
    <n v="9"/>
    <n v="3568.7777777777778"/>
    <n v="7319.2222222222226"/>
    <n v="31251"/>
    <x v="0"/>
    <s v="Office"/>
    <n v="6"/>
  </r>
  <r>
    <s v="Q2-019"/>
    <x v="48"/>
    <x v="3"/>
    <n v="1010"/>
    <s v="Printer"/>
    <n v="1"/>
    <n v="648"/>
    <x v="2"/>
    <n v="136"/>
    <n v="0.1"/>
    <n v="648"/>
    <n v="583.20000000000005"/>
    <n v="45777"/>
    <n v="44423"/>
    <n v="14"/>
    <n v="3173.0714285714284"/>
    <n v="-2661.0714285714284"/>
    <n v="23446"/>
    <x v="0"/>
    <s v="Electronics"/>
    <n v="8"/>
  </r>
  <r>
    <s v="Q2-020"/>
    <x v="49"/>
    <x v="2"/>
    <n v="1006"/>
    <s v="Laptop"/>
    <n v="6"/>
    <n v="634"/>
    <x v="0"/>
    <n v="469"/>
    <n v="0.22"/>
    <n v="3804"/>
    <n v="2967.12"/>
    <n v="45838"/>
    <n v="20079"/>
    <n v="7"/>
    <n v="2868.4285714285716"/>
    <n v="-1878.4285714285716"/>
    <n v="34295"/>
    <x v="0"/>
    <s v="Electronics"/>
    <n v="7"/>
  </r>
  <r>
    <s v="Q2-021"/>
    <x v="50"/>
    <x v="1"/>
    <n v="1007"/>
    <s v="Laptop"/>
    <n v="3"/>
    <n v="119"/>
    <x v="0"/>
    <n v="469"/>
    <n v="0.22"/>
    <n v="357"/>
    <n v="278.46000000000004"/>
    <n v="45838"/>
    <n v="20079"/>
    <n v="7"/>
    <n v="2868.4285714285716"/>
    <n v="-3918.4285714285716"/>
    <n v="29517"/>
    <x v="0"/>
    <s v="Electronics"/>
    <n v="7"/>
  </r>
  <r>
    <s v="Q2-022"/>
    <x v="51"/>
    <x v="1"/>
    <n v="1007"/>
    <s v="Smartphone"/>
    <n v="6"/>
    <n v="1219"/>
    <x v="0"/>
    <n v="97"/>
    <n v="0.08"/>
    <n v="7314"/>
    <n v="6728.88"/>
    <n v="45777"/>
    <n v="44423"/>
    <n v="14"/>
    <n v="3173.0714285714284"/>
    <n v="3558.9285714285716"/>
    <n v="29517"/>
    <x v="0"/>
    <s v="Office"/>
    <n v="3"/>
  </r>
  <r>
    <s v="Q2-023"/>
    <x v="52"/>
    <x v="0"/>
    <n v="1020"/>
    <s v="Printer"/>
    <n v="2"/>
    <n v="1169"/>
    <x v="2"/>
    <n v="136"/>
    <n v="0.1"/>
    <n v="2338"/>
    <n v="2104.2000000000003"/>
    <n v="45808"/>
    <n v="32119"/>
    <n v="9"/>
    <n v="3568.7777777777778"/>
    <n v="-1502.7777777777778"/>
    <n v="21494"/>
    <x v="0"/>
    <s v="Accessories"/>
    <n v="5"/>
  </r>
  <r>
    <s v="Q2-024"/>
    <x v="53"/>
    <x v="1"/>
    <n v="1019"/>
    <s v="Headphones"/>
    <n v="4"/>
    <n v="1964"/>
    <x v="1"/>
    <n v="323"/>
    <n v="0.1"/>
    <n v="7856"/>
    <n v="7070.4000000000005"/>
    <n v="45808"/>
    <n v="32119"/>
    <n v="9"/>
    <n v="3568.7777777777778"/>
    <n v="2995.2222222222222"/>
    <n v="20633"/>
    <x v="0"/>
    <s v="Electronics"/>
    <n v="3"/>
  </r>
  <r>
    <s v="Q2-025"/>
    <x v="54"/>
    <x v="1"/>
    <n v="1002"/>
    <s v="Tablet"/>
    <n v="4"/>
    <n v="1929"/>
    <x v="0"/>
    <n v="492"/>
    <n v="0.14000000000000001"/>
    <n v="7716"/>
    <n v="6635.76"/>
    <n v="45808"/>
    <n v="32119"/>
    <n v="9"/>
    <n v="3568.7777777777778"/>
    <n v="2179.2222222222222"/>
    <n v="14833"/>
    <x v="1"/>
    <s v="Office"/>
    <n v="8"/>
  </r>
  <r>
    <s v="Q2-026"/>
    <x v="55"/>
    <x v="2"/>
    <n v="1005"/>
    <s v="Printer"/>
    <n v="2"/>
    <n v="109"/>
    <x v="2"/>
    <n v="136"/>
    <n v="0.1"/>
    <n v="218"/>
    <n v="196.20000000000002"/>
    <n v="45777"/>
    <n v="44423"/>
    <n v="14"/>
    <n v="3173.0714285714284"/>
    <n v="-3227.0714285714284"/>
    <n v="24821"/>
    <x v="0"/>
    <s v="Electronics"/>
    <n v="2"/>
  </r>
  <r>
    <s v="Q2-027"/>
    <x v="56"/>
    <x v="3"/>
    <n v="1009"/>
    <s v="Smartphone"/>
    <n v="9"/>
    <n v="249"/>
    <x v="0"/>
    <n v="97"/>
    <n v="0.08"/>
    <n v="2241"/>
    <n v="2061.7200000000003"/>
    <n v="45808"/>
    <n v="32119"/>
    <n v="9"/>
    <n v="3568.7777777777778"/>
    <n v="-2200.7777777777778"/>
    <n v="26022"/>
    <x v="0"/>
    <s v="Accessories"/>
    <n v="7"/>
  </r>
  <r>
    <s v="Q2-028"/>
    <x v="57"/>
    <x v="2"/>
    <n v="1018"/>
    <s v="Headphones"/>
    <n v="7"/>
    <n v="520"/>
    <x v="1"/>
    <n v="323"/>
    <n v="0.1"/>
    <n v="3640"/>
    <n v="3276"/>
    <n v="45777"/>
    <n v="44423"/>
    <n v="14"/>
    <n v="3173.0714285714284"/>
    <n v="-1794.0714285714284"/>
    <n v="31997"/>
    <x v="0"/>
    <s v="Electronics"/>
    <n v="7"/>
  </r>
  <r>
    <s v="Q2-029"/>
    <x v="58"/>
    <x v="0"/>
    <n v="1007"/>
    <s v="Monitor"/>
    <n v="9"/>
    <n v="854"/>
    <x v="0"/>
    <n v="463"/>
    <n v="0.23"/>
    <n v="7686"/>
    <n v="5918.22"/>
    <n v="45838"/>
    <n v="20079"/>
    <n v="7"/>
    <n v="2868.4285714285716"/>
    <n v="650.57142857142844"/>
    <n v="29517"/>
    <x v="0"/>
    <s v="Accessories"/>
    <n v="1"/>
  </r>
  <r>
    <s v="Q2-030"/>
    <x v="59"/>
    <x v="2"/>
    <n v="1006"/>
    <s v="Headphones"/>
    <n v="2"/>
    <n v="1035"/>
    <x v="1"/>
    <n v="323"/>
    <n v="0.1"/>
    <n v="2070"/>
    <n v="1863"/>
    <n v="45777"/>
    <n v="44423"/>
    <n v="14"/>
    <n v="3173.0714285714284"/>
    <n v="-1749.0714285714284"/>
    <n v="34295"/>
    <x v="0"/>
    <s v="Electronics"/>
    <n v="8"/>
  </r>
  <r>
    <s v="Q3-001"/>
    <x v="60"/>
    <x v="3"/>
    <n v="1001"/>
    <s v="Monitor"/>
    <n v="4"/>
    <n v="160"/>
    <x v="0"/>
    <n v="463"/>
    <n v="0.23"/>
    <n v="640"/>
    <n v="492.8"/>
    <n v="45869"/>
    <n v="36304"/>
    <n v="12"/>
    <n v="3025.3333333333335"/>
    <n v="-4237.3333333333339"/>
    <n v="23279"/>
    <x v="0"/>
    <s v="Electronics"/>
    <n v="3"/>
  </r>
  <r>
    <s v="Q3-002"/>
    <x v="61"/>
    <x v="0"/>
    <n v="1001"/>
    <s v="Monitor"/>
    <n v="1"/>
    <n v="233"/>
    <x v="0"/>
    <n v="463"/>
    <n v="0.23"/>
    <n v="233"/>
    <n v="179.41"/>
    <n v="45869"/>
    <n v="36304"/>
    <n v="12"/>
    <n v="3025.3333333333335"/>
    <n v="-3255.3333333333335"/>
    <n v="23279"/>
    <x v="0"/>
    <s v="Electronics"/>
    <n v="4"/>
  </r>
  <r>
    <s v="Q3-003"/>
    <x v="62"/>
    <x v="1"/>
    <n v="1010"/>
    <s v="Smartphone"/>
    <n v="9"/>
    <n v="312"/>
    <x v="0"/>
    <n v="97"/>
    <n v="0.08"/>
    <n v="2808"/>
    <n v="2583.36"/>
    <n v="45900"/>
    <n v="36734"/>
    <n v="11"/>
    <n v="3339.4545454545455"/>
    <n v="-1404.4545454545455"/>
    <n v="23446"/>
    <x v="0"/>
    <s v="Electronics"/>
    <n v="6"/>
  </r>
  <r>
    <s v="Q3-004"/>
    <x v="63"/>
    <x v="2"/>
    <n v="1019"/>
    <s v="Laptop"/>
    <n v="3"/>
    <n v="603"/>
    <x v="0"/>
    <n v="469"/>
    <n v="0.22"/>
    <n v="1809"/>
    <n v="1411.02"/>
    <n v="45869"/>
    <n v="36304"/>
    <n v="12"/>
    <n v="3025.3333333333335"/>
    <n v="-2623.3333333333335"/>
    <n v="20633"/>
    <x v="0"/>
    <s v="Electronics"/>
    <n v="5"/>
  </r>
  <r>
    <s v="Q3-005"/>
    <x v="64"/>
    <x v="0"/>
    <n v="1006"/>
    <s v="Monitor"/>
    <n v="8"/>
    <n v="1987"/>
    <x v="0"/>
    <n v="463"/>
    <n v="0.23"/>
    <n v="15896"/>
    <n v="12239.92"/>
    <n v="45869"/>
    <n v="36304"/>
    <n v="12"/>
    <n v="3025.3333333333335"/>
    <n v="9166.6666666666661"/>
    <n v="34295"/>
    <x v="0"/>
    <s v="Electronics"/>
    <n v="3"/>
  </r>
  <r>
    <s v="Q3-006"/>
    <x v="65"/>
    <x v="3"/>
    <n v="1008"/>
    <s v="Laptop"/>
    <n v="3"/>
    <n v="589"/>
    <x v="0"/>
    <n v="469"/>
    <n v="0.22"/>
    <n v="1767"/>
    <n v="1378.26"/>
    <n v="45900"/>
    <n v="36734"/>
    <n v="11"/>
    <n v="3339.4545454545455"/>
    <n v="-2979.4545454545455"/>
    <n v="5269"/>
    <x v="1"/>
    <s v="Accessories"/>
    <n v="5"/>
  </r>
  <r>
    <s v="Q3-007"/>
    <x v="66"/>
    <x v="2"/>
    <n v="1006"/>
    <s v="Headphones"/>
    <n v="2"/>
    <n v="1742"/>
    <x v="1"/>
    <n v="323"/>
    <n v="0.1"/>
    <n v="3484"/>
    <n v="3135.6"/>
    <n v="45900"/>
    <n v="36734"/>
    <n v="11"/>
    <n v="3339.4545454545455"/>
    <n v="-501.4545454545455"/>
    <n v="34295"/>
    <x v="0"/>
    <s v="Electronics"/>
    <n v="4"/>
  </r>
  <r>
    <s v="Q3-008"/>
    <x v="67"/>
    <x v="0"/>
    <n v="1015"/>
    <s v="Smartphone"/>
    <n v="4"/>
    <n v="1461"/>
    <x v="0"/>
    <n v="97"/>
    <n v="0.08"/>
    <n v="5844"/>
    <n v="5376.4800000000005"/>
    <n v="45869"/>
    <n v="36304"/>
    <n v="12"/>
    <n v="3025.3333333333335"/>
    <n v="2430.6666666666665"/>
    <n v="10260"/>
    <x v="1"/>
    <s v="Electronics"/>
    <n v="8"/>
  </r>
  <r>
    <s v="Q3-009"/>
    <x v="68"/>
    <x v="0"/>
    <n v="1002"/>
    <s v="Laptop"/>
    <n v="3"/>
    <n v="1133"/>
    <x v="0"/>
    <n v="469"/>
    <n v="0.22"/>
    <n v="3399"/>
    <n v="2651.2200000000003"/>
    <n v="45930"/>
    <n v="34260"/>
    <n v="7"/>
    <n v="4894.2857142857147"/>
    <n v="-2902.2857142857147"/>
    <n v="14833"/>
    <x v="1"/>
    <s v="Electronics"/>
    <n v="1"/>
  </r>
  <r>
    <s v="Q3-010"/>
    <x v="69"/>
    <x v="2"/>
    <n v="1018"/>
    <s v="Monitor"/>
    <n v="5"/>
    <n v="644"/>
    <x v="0"/>
    <n v="463"/>
    <n v="0.23"/>
    <n v="3220"/>
    <n v="2479.4"/>
    <n v="45930"/>
    <n v="34260"/>
    <n v="7"/>
    <n v="4894.2857142857147"/>
    <n v="-3989.2857142857147"/>
    <n v="31997"/>
    <x v="0"/>
    <s v="Accessories"/>
    <n v="1"/>
  </r>
  <r>
    <s v="Q3-011"/>
    <x v="70"/>
    <x v="3"/>
    <n v="1002"/>
    <s v="Headphones"/>
    <n v="2"/>
    <n v="1265"/>
    <x v="1"/>
    <n v="323"/>
    <n v="0.1"/>
    <n v="2530"/>
    <n v="2277"/>
    <n v="45900"/>
    <n v="36734"/>
    <n v="11"/>
    <n v="3339.4545454545455"/>
    <n v="-1455.4545454545455"/>
    <n v="14833"/>
    <x v="1"/>
    <s v="Electronics"/>
    <n v="6"/>
  </r>
  <r>
    <s v="Q3-012"/>
    <x v="71"/>
    <x v="1"/>
    <n v="1011"/>
    <s v="Tablet"/>
    <n v="3"/>
    <n v="1634"/>
    <x v="0"/>
    <n v="492"/>
    <n v="0.14000000000000001"/>
    <n v="4902"/>
    <n v="4215.72"/>
    <n v="45869"/>
    <n v="36304"/>
    <n v="12"/>
    <n v="3025.3333333333335"/>
    <n v="400.66666666666652"/>
    <n v="17906"/>
    <x v="1"/>
    <s v="Office"/>
    <n v="7"/>
  </r>
  <r>
    <s v="Q3-013"/>
    <x v="72"/>
    <x v="2"/>
    <n v="1012"/>
    <s v="Printer"/>
    <n v="3"/>
    <n v="144"/>
    <x v="2"/>
    <n v="136"/>
    <n v="0.1"/>
    <n v="432"/>
    <n v="388.8"/>
    <n v="45930"/>
    <n v="34260"/>
    <n v="7"/>
    <n v="4894.2857142857147"/>
    <n v="-4870.2857142857147"/>
    <n v="8379"/>
    <x v="1"/>
    <s v="Electronics"/>
    <n v="7"/>
  </r>
  <r>
    <s v="Q3-014"/>
    <x v="73"/>
    <x v="1"/>
    <n v="1005"/>
    <s v="Tablet"/>
    <n v="8"/>
    <n v="1707"/>
    <x v="0"/>
    <n v="492"/>
    <n v="0.14000000000000001"/>
    <n v="13656"/>
    <n v="11744.16"/>
    <n v="45869"/>
    <n v="36304"/>
    <n v="12"/>
    <n v="3025.3333333333335"/>
    <n v="6694.6666666666661"/>
    <n v="24821"/>
    <x v="0"/>
    <s v="Electronics"/>
    <n v="6"/>
  </r>
  <r>
    <s v="Q3-015"/>
    <x v="74"/>
    <x v="3"/>
    <n v="1004"/>
    <s v="Laptop"/>
    <n v="4"/>
    <n v="960"/>
    <x v="0"/>
    <n v="469"/>
    <n v="0.22"/>
    <n v="3840"/>
    <n v="2995.2000000000003"/>
    <n v="45900"/>
    <n v="36734"/>
    <n v="11"/>
    <n v="3339.4545454545455"/>
    <n v="-1375.4545454545455"/>
    <n v="8004"/>
    <x v="1"/>
    <s v="Electronics"/>
    <n v="7"/>
  </r>
  <r>
    <s v="Q3-016"/>
    <x v="75"/>
    <x v="1"/>
    <n v="1017"/>
    <s v="Laptop"/>
    <n v="5"/>
    <n v="1416"/>
    <x v="0"/>
    <n v="469"/>
    <n v="0.22"/>
    <n v="7080"/>
    <n v="5522.4000000000005"/>
    <n v="45930"/>
    <n v="34260"/>
    <n v="7"/>
    <n v="4894.2857142857147"/>
    <n v="-159.28571428571468"/>
    <n v="38912"/>
    <x v="0"/>
    <s v="Office"/>
    <n v="5"/>
  </r>
  <r>
    <s v="Q3-017"/>
    <x v="76"/>
    <x v="0"/>
    <n v="1017"/>
    <s v="Printer"/>
    <n v="2"/>
    <n v="300"/>
    <x v="2"/>
    <n v="136"/>
    <n v="0.1"/>
    <n v="600"/>
    <n v="540"/>
    <n v="45930"/>
    <n v="34260"/>
    <n v="7"/>
    <n v="4894.2857142857147"/>
    <n v="-4566.2857142857147"/>
    <n v="38912"/>
    <x v="0"/>
    <s v="Electronics"/>
    <n v="8"/>
  </r>
  <r>
    <s v="Q3-018"/>
    <x v="77"/>
    <x v="1"/>
    <n v="1001"/>
    <s v="Laptop"/>
    <n v="7"/>
    <n v="608"/>
    <x v="0"/>
    <n v="469"/>
    <n v="0.22"/>
    <n v="4256"/>
    <n v="3319.6800000000003"/>
    <n v="45930"/>
    <n v="34260"/>
    <n v="7"/>
    <n v="4894.2857142857147"/>
    <n v="-3921.2857142857147"/>
    <n v="23279"/>
    <x v="0"/>
    <s v="Electronics"/>
    <n v="4"/>
  </r>
  <r>
    <s v="Q3-019"/>
    <x v="78"/>
    <x v="1"/>
    <n v="1017"/>
    <s v="Laptop"/>
    <n v="8"/>
    <n v="1150"/>
    <x v="0"/>
    <n v="469"/>
    <n v="0.22"/>
    <n v="9200"/>
    <n v="7176"/>
    <n v="45869"/>
    <n v="36304"/>
    <n v="12"/>
    <n v="3025.3333333333335"/>
    <n v="2422.6666666666665"/>
    <n v="38912"/>
    <x v="0"/>
    <s v="Electronics"/>
    <n v="3"/>
  </r>
  <r>
    <s v="Q3-020"/>
    <x v="79"/>
    <x v="3"/>
    <n v="1019"/>
    <s v="Tablet"/>
    <n v="2"/>
    <n v="508"/>
    <x v="0"/>
    <n v="492"/>
    <n v="0.14000000000000001"/>
    <n v="1016"/>
    <n v="873.76"/>
    <n v="45900"/>
    <n v="36734"/>
    <n v="11"/>
    <n v="3339.4545454545455"/>
    <n v="-3307.4545454545455"/>
    <n v="20633"/>
    <x v="0"/>
    <s v="Electronics"/>
    <n v="4"/>
  </r>
  <r>
    <s v="Q3-021"/>
    <x v="80"/>
    <x v="0"/>
    <n v="1019"/>
    <s v="Tablet"/>
    <n v="1"/>
    <n v="1272"/>
    <x v="0"/>
    <n v="492"/>
    <n v="0.14000000000000001"/>
    <n v="1272"/>
    <n v="1093.92"/>
    <n v="45930"/>
    <n v="34260"/>
    <n v="7"/>
    <n v="4894.2857142857147"/>
    <n v="-4114.2857142857147"/>
    <n v="20633"/>
    <x v="0"/>
    <s v="Electronics"/>
    <n v="9"/>
  </r>
  <r>
    <s v="Q3-022"/>
    <x v="81"/>
    <x v="3"/>
    <n v="1012"/>
    <s v="Monitor"/>
    <n v="1"/>
    <n v="1186"/>
    <x v="0"/>
    <n v="463"/>
    <n v="0.23"/>
    <n v="1186"/>
    <n v="913.22"/>
    <n v="45869"/>
    <n v="36304"/>
    <n v="12"/>
    <n v="3025.3333333333335"/>
    <n v="-2302.3333333333335"/>
    <n v="8379"/>
    <x v="1"/>
    <s v="Electronics"/>
    <n v="8"/>
  </r>
  <r>
    <s v="Q3-023"/>
    <x v="82"/>
    <x v="2"/>
    <n v="1001"/>
    <s v="Laptop"/>
    <n v="6"/>
    <n v="272"/>
    <x v="0"/>
    <n v="469"/>
    <n v="0.22"/>
    <n v="1632"/>
    <n v="1272.96"/>
    <n v="45900"/>
    <n v="36734"/>
    <n v="11"/>
    <n v="3339.4545454545455"/>
    <n v="-4521.454545454546"/>
    <n v="23279"/>
    <x v="0"/>
    <s v="Accessories"/>
    <n v="2"/>
  </r>
  <r>
    <s v="Q3-024"/>
    <x v="83"/>
    <x v="0"/>
    <n v="1014"/>
    <s v="Headphones"/>
    <n v="9"/>
    <n v="1794"/>
    <x v="1"/>
    <n v="323"/>
    <n v="0.1"/>
    <n v="16146"/>
    <n v="14531.4"/>
    <n v="45900"/>
    <n v="36734"/>
    <n v="11"/>
    <n v="3339.4545454545455"/>
    <n v="9899.545454545454"/>
    <n v="31571"/>
    <x v="0"/>
    <s v="Electronics"/>
    <n v="6"/>
  </r>
  <r>
    <s v="Q3-025"/>
    <x v="84"/>
    <x v="0"/>
    <n v="1006"/>
    <s v="Monitor"/>
    <n v="5"/>
    <n v="757"/>
    <x v="0"/>
    <n v="463"/>
    <n v="0.23"/>
    <n v="3785"/>
    <n v="2914.4500000000003"/>
    <n v="45900"/>
    <n v="36734"/>
    <n v="11"/>
    <n v="3339.4545454545455"/>
    <n v="-1869.4545454545455"/>
    <n v="34295"/>
    <x v="0"/>
    <s v="Electronics"/>
    <n v="4"/>
  </r>
  <r>
    <s v="Q3-026"/>
    <x v="85"/>
    <x v="1"/>
    <n v="1017"/>
    <s v="Smartphone"/>
    <n v="9"/>
    <n v="472"/>
    <x v="0"/>
    <n v="97"/>
    <n v="0.08"/>
    <n v="4248"/>
    <n v="3908.1600000000003"/>
    <n v="45869"/>
    <n v="36304"/>
    <n v="12"/>
    <n v="3025.3333333333335"/>
    <n v="349.66666666666652"/>
    <n v="38912"/>
    <x v="0"/>
    <s v="Electronics"/>
    <n v="1"/>
  </r>
  <r>
    <s v="Q3-027"/>
    <x v="86"/>
    <x v="2"/>
    <n v="1002"/>
    <s v="Laptop"/>
    <n v="9"/>
    <n v="132"/>
    <x v="0"/>
    <n v="469"/>
    <n v="0.22"/>
    <n v="1188"/>
    <n v="926.64"/>
    <n v="45869"/>
    <n v="36304"/>
    <n v="12"/>
    <n v="3025.3333333333335"/>
    <n v="-6058.3333333333339"/>
    <n v="14833"/>
    <x v="1"/>
    <s v="Electronics"/>
    <n v="7"/>
  </r>
  <r>
    <s v="Q3-028"/>
    <x v="87"/>
    <x v="3"/>
    <n v="1018"/>
    <s v="Laptop"/>
    <n v="4"/>
    <n v="1817"/>
    <x v="0"/>
    <n v="469"/>
    <n v="0.22"/>
    <n v="7268"/>
    <n v="5669.04"/>
    <n v="45869"/>
    <n v="36304"/>
    <n v="12"/>
    <n v="3025.3333333333335"/>
    <n v="2366.6666666666665"/>
    <n v="31997"/>
    <x v="0"/>
    <s v="Electronics"/>
    <n v="3"/>
  </r>
  <r>
    <s v="Q3-029"/>
    <x v="88"/>
    <x v="3"/>
    <n v="1019"/>
    <s v="Monitor"/>
    <n v="5"/>
    <n v="698"/>
    <x v="0"/>
    <n v="463"/>
    <n v="0.23"/>
    <n v="3490"/>
    <n v="2687.3"/>
    <n v="45900"/>
    <n v="36734"/>
    <n v="11"/>
    <n v="3339.4545454545455"/>
    <n v="-2164.4545454545455"/>
    <n v="20633"/>
    <x v="0"/>
    <s v="Electronics"/>
    <n v="4"/>
  </r>
  <r>
    <s v="Q3-030"/>
    <x v="89"/>
    <x v="1"/>
    <n v="1003"/>
    <s v="Monitor"/>
    <n v="3"/>
    <n v="651"/>
    <x v="0"/>
    <n v="463"/>
    <n v="0.23"/>
    <n v="1953"/>
    <n v="1503.81"/>
    <n v="45900"/>
    <n v="36734"/>
    <n v="11"/>
    <n v="3339.4545454545455"/>
    <n v="-2775.4545454545455"/>
    <n v="31251"/>
    <x v="0"/>
    <s v="Electronics"/>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Q1-001"/>
    <d v="2025-02-20T00:39:01"/>
    <s v="South"/>
    <n v="1018"/>
    <x v="0"/>
    <n v="1"/>
    <n v="730"/>
    <s v="Electronics"/>
    <n v="492"/>
    <n v="0.14000000000000001"/>
    <n v="730"/>
    <n v="627.79999999999995"/>
    <n v="45716"/>
    <n v="43320"/>
    <n v="10"/>
    <n v="4332"/>
    <n v="-4094"/>
    <n v="31997"/>
    <s v="Regular"/>
    <s v="Accessories"/>
    <n v="5"/>
    <m/>
    <n v="0.01"/>
  </r>
  <r>
    <s v="Q1-002"/>
    <d v="2025-02-24T05:40:59"/>
    <s v="South"/>
    <n v="1004"/>
    <x v="1"/>
    <n v="3"/>
    <n v="378"/>
    <s v="Accessories"/>
    <n v="323"/>
    <n v="0.1"/>
    <n v="1134"/>
    <n v="1020.6"/>
    <n v="45716"/>
    <n v="43320"/>
    <n v="10"/>
    <n v="4332"/>
    <n v="-4167"/>
    <n v="8004"/>
    <s v="Low Value"/>
    <s v="Electronics"/>
    <n v="2"/>
    <m/>
    <n v="0.03"/>
  </r>
  <r>
    <s v="Q1-003"/>
    <d v="2025-03-20T06:26:20"/>
    <s v="West"/>
    <n v="1005"/>
    <x v="2"/>
    <n v="1"/>
    <n v="585"/>
    <s v="Electronics"/>
    <n v="463"/>
    <n v="0.23"/>
    <n v="585"/>
    <n v="450.45"/>
    <n v="45747"/>
    <n v="34147"/>
    <n v="10"/>
    <n v="3414.7"/>
    <n v="-3292.7"/>
    <n v="24821"/>
    <s v="Regular"/>
    <s v="Electronics"/>
    <n v="6"/>
    <m/>
    <n v="0.05"/>
  </r>
  <r>
    <s v="Q1-004"/>
    <d v="2025-02-15T13:42:32"/>
    <s v="East"/>
    <n v="1018"/>
    <x v="3"/>
    <n v="8"/>
    <n v="726"/>
    <s v="Electronics"/>
    <n v="97"/>
    <n v="0.08"/>
    <n v="5808"/>
    <n v="5343.3600000000006"/>
    <n v="45716"/>
    <n v="43320"/>
    <n v="10"/>
    <n v="4332"/>
    <n v="700"/>
    <n v="31997"/>
    <s v="Regular"/>
    <s v="Electronics"/>
    <n v="4"/>
    <m/>
    <n v="7.0000000000000007E-2"/>
  </r>
  <r>
    <s v="Q1-005"/>
    <d v="2025-01-06T16:27:43"/>
    <s v="North"/>
    <n v="1012"/>
    <x v="4"/>
    <n v="2"/>
    <n v="709"/>
    <s v="Electronics"/>
    <n v="469"/>
    <n v="0.22"/>
    <n v="1418"/>
    <n v="1106.04"/>
    <n v="45688"/>
    <n v="25640"/>
    <n v="10"/>
    <n v="2564"/>
    <n v="-2084"/>
    <n v="8379"/>
    <s v="Low Value"/>
    <s v="Electronics"/>
    <n v="5"/>
    <m/>
    <n v="0.03"/>
  </r>
  <r>
    <s v="Q1-006"/>
    <d v="2025-02-28T05:26:33"/>
    <s v="East"/>
    <n v="1013"/>
    <x v="4"/>
    <n v="8"/>
    <n v="1817"/>
    <s v="Electronics"/>
    <n v="469"/>
    <n v="0.22"/>
    <n v="14536"/>
    <n v="11338.08"/>
    <n v="45716"/>
    <n v="43320"/>
    <n v="10"/>
    <n v="4332"/>
    <n v="6452"/>
    <n v="17364"/>
    <s v="Low Value"/>
    <s v="Electronics"/>
    <n v="5"/>
    <m/>
    <n v="0.06"/>
  </r>
  <r>
    <s v="Q1-007"/>
    <d v="2025-03-19T02:47:39"/>
    <s v="South"/>
    <n v="1017"/>
    <x v="0"/>
    <n v="9"/>
    <n v="1976"/>
    <s v="Electronics"/>
    <n v="492"/>
    <n v="0.14000000000000001"/>
    <n v="17784"/>
    <n v="15294.24"/>
    <n v="45747"/>
    <n v="34147"/>
    <n v="10"/>
    <n v="3414.7"/>
    <n v="9941.2999999999993"/>
    <n v="38912"/>
    <s v="Regular"/>
    <s v="Electronics"/>
    <n v="4"/>
    <m/>
    <n v="0.02"/>
  </r>
  <r>
    <s v="Q1-008"/>
    <d v="2025-02-19T09:27:33"/>
    <s v="South"/>
    <n v="1014"/>
    <x v="0"/>
    <n v="5"/>
    <n v="1134"/>
    <s v="Electronics"/>
    <n v="492"/>
    <n v="0.14000000000000001"/>
    <n v="5670"/>
    <n v="4876.2"/>
    <n v="45716"/>
    <n v="43320"/>
    <n v="10"/>
    <n v="4332"/>
    <n v="-1122"/>
    <n v="31571"/>
    <s v="Regular"/>
    <s v="Office"/>
    <n v="8"/>
    <m/>
    <n v="7.0000000000000007E-2"/>
  </r>
  <r>
    <s v="Q1-009"/>
    <d v="2025-01-14T11:55:59"/>
    <s v="South"/>
    <n v="1020"/>
    <x v="5"/>
    <n v="1"/>
    <n v="1220"/>
    <s v="Office"/>
    <n v="136"/>
    <n v="0.1"/>
    <n v="1220"/>
    <n v="1098"/>
    <n v="45688"/>
    <n v="25640"/>
    <n v="10"/>
    <n v="2564"/>
    <n v="-1480"/>
    <n v="21494"/>
    <s v="Regular"/>
    <s v="Accessories"/>
    <n v="2"/>
    <m/>
    <n v="0.08"/>
  </r>
  <r>
    <s v="Q1-010"/>
    <d v="2025-03-27T04:51:12"/>
    <s v="West"/>
    <n v="1010"/>
    <x v="1"/>
    <n v="2"/>
    <n v="283"/>
    <s v="Accessories"/>
    <n v="323"/>
    <n v="0.1"/>
    <n v="566"/>
    <n v="509.40000000000003"/>
    <n v="45747"/>
    <n v="34147"/>
    <n v="10"/>
    <n v="3414.7"/>
    <n v="-3494.7"/>
    <n v="23446"/>
    <s v="Regular"/>
    <s v="Electronics"/>
    <n v="2"/>
    <m/>
    <n v="0.08"/>
  </r>
  <r>
    <s v="Q1-011"/>
    <d v="2025-01-27T22:17:52"/>
    <s v="West"/>
    <n v="1019"/>
    <x v="4"/>
    <n v="9"/>
    <n v="417"/>
    <s v="Electronics"/>
    <n v="469"/>
    <n v="0.22"/>
    <n v="3753"/>
    <n v="2927.34"/>
    <n v="45688"/>
    <n v="25640"/>
    <n v="10"/>
    <n v="2564"/>
    <n v="-3032"/>
    <n v="20633"/>
    <s v="Regular"/>
    <s v="Electronics"/>
    <n v="8"/>
    <m/>
    <n v="0.06"/>
  </r>
  <r>
    <s v="Q1-012"/>
    <d v="2025-01-05T18:57:05"/>
    <s v="South"/>
    <n v="1016"/>
    <x v="4"/>
    <n v="3"/>
    <n v="1692"/>
    <s v="Electronics"/>
    <n v="469"/>
    <n v="0.22"/>
    <n v="5076"/>
    <n v="3959.28"/>
    <n v="45688"/>
    <n v="25640"/>
    <n v="10"/>
    <n v="2564"/>
    <n v="1105"/>
    <n v="22009"/>
    <s v="Regular"/>
    <s v="Office"/>
    <n v="8"/>
    <m/>
    <n v="0.03"/>
  </r>
  <r>
    <s v="Q1-013"/>
    <d v="2025-02-05T11:02:36"/>
    <s v="East"/>
    <n v="1001"/>
    <x v="5"/>
    <n v="4"/>
    <n v="1853"/>
    <s v="Office"/>
    <n v="136"/>
    <n v="0.1"/>
    <n v="7412"/>
    <n v="6670.8"/>
    <n v="45716"/>
    <n v="43320"/>
    <n v="10"/>
    <n v="4332"/>
    <n v="2536"/>
    <n v="23279"/>
    <s v="Regular"/>
    <s v="Office"/>
    <n v="1"/>
    <m/>
    <n v="7.0000000000000007E-2"/>
  </r>
  <r>
    <s v="Q1-014"/>
    <d v="2025-03-01T06:05:59"/>
    <s v="South"/>
    <n v="1005"/>
    <x v="5"/>
    <n v="2"/>
    <n v="505"/>
    <s v="Office"/>
    <n v="136"/>
    <n v="0.1"/>
    <n v="1010"/>
    <n v="909"/>
    <n v="45747"/>
    <n v="34147"/>
    <n v="10"/>
    <n v="3414.7"/>
    <n v="-2676.7"/>
    <n v="24821"/>
    <s v="Regular"/>
    <s v="Electronics"/>
    <n v="3"/>
    <m/>
    <n v="0.09"/>
  </r>
  <r>
    <s v="Q1-015"/>
    <d v="2025-01-15T01:44:38"/>
    <s v="South"/>
    <n v="1016"/>
    <x v="2"/>
    <n v="3"/>
    <n v="1355"/>
    <s v="Electronics"/>
    <n v="463"/>
    <n v="0.23"/>
    <n v="4065"/>
    <n v="3130.05"/>
    <n v="45688"/>
    <n v="25640"/>
    <n v="10"/>
    <n v="2564"/>
    <n v="112"/>
    <n v="22009"/>
    <s v="Regular"/>
    <s v="Office"/>
    <n v="4"/>
    <m/>
    <n v="0.06"/>
  </r>
  <r>
    <s v="Q1-016"/>
    <d v="2025-03-26T20:57:22"/>
    <s v="North"/>
    <n v="1003"/>
    <x v="5"/>
    <n v="8"/>
    <n v="1220"/>
    <s v="Office"/>
    <n v="136"/>
    <n v="0.1"/>
    <n v="9760"/>
    <n v="8784"/>
    <n v="45747"/>
    <n v="34147"/>
    <n v="10"/>
    <n v="3414.7"/>
    <n v="5257.3"/>
    <n v="31251"/>
    <s v="Regular"/>
    <s v="Electronics"/>
    <n v="3"/>
    <m/>
    <n v="0.1"/>
  </r>
  <r>
    <s v="Q1-017"/>
    <d v="2025-01-31T05:07:32"/>
    <s v="North"/>
    <n v="1008"/>
    <x v="3"/>
    <n v="3"/>
    <n v="605"/>
    <s v="Electronics"/>
    <n v="97"/>
    <n v="0.08"/>
    <n v="1815"/>
    <n v="1669.8000000000002"/>
    <n v="45688"/>
    <n v="25640"/>
    <n v="10"/>
    <n v="2564"/>
    <n v="-1040"/>
    <n v="5269"/>
    <s v="Low Value"/>
    <s v="Electronics"/>
    <n v="6"/>
    <m/>
    <n v="0.1"/>
  </r>
  <r>
    <s v="Q1-018"/>
    <d v="2025-03-02T22:23:58"/>
    <s v="South"/>
    <n v="1009"/>
    <x v="2"/>
    <n v="7"/>
    <n v="1149"/>
    <s v="Electronics"/>
    <n v="463"/>
    <n v="0.23"/>
    <n v="8043"/>
    <n v="6193.1100000000006"/>
    <n v="45747"/>
    <n v="34147"/>
    <n v="10"/>
    <n v="3414.7"/>
    <n v="1387.3000000000002"/>
    <n v="26022"/>
    <s v="Regular"/>
    <s v="Accessories"/>
    <n v="9"/>
    <m/>
    <n v="0.02"/>
  </r>
  <r>
    <s v="Q1-019"/>
    <d v="2025-02-08T10:50:13"/>
    <s v="North"/>
    <n v="1010"/>
    <x v="1"/>
    <n v="1"/>
    <n v="1621"/>
    <s v="Accessories"/>
    <n v="323"/>
    <n v="0.1"/>
    <n v="1621"/>
    <n v="1458.9"/>
    <n v="45716"/>
    <n v="43320"/>
    <n v="10"/>
    <n v="4332"/>
    <n v="-3034"/>
    <n v="23446"/>
    <s v="Regular"/>
    <s v="Office"/>
    <n v="2"/>
    <m/>
    <n v="0"/>
  </r>
  <r>
    <s v="Q1-020"/>
    <d v="2025-03-22T19:35:46"/>
    <s v="North"/>
    <n v="1004"/>
    <x v="5"/>
    <n v="3"/>
    <n v="1010"/>
    <s v="Office"/>
    <n v="136"/>
    <n v="0.1"/>
    <n v="3030"/>
    <n v="2727"/>
    <n v="45747"/>
    <n v="34147"/>
    <n v="10"/>
    <n v="3414.7"/>
    <n v="-792.69999999999982"/>
    <n v="8004"/>
    <s v="Low Value"/>
    <s v="Accessories"/>
    <n v="1"/>
    <m/>
    <n v="0.02"/>
  </r>
  <r>
    <s v="Q1-021"/>
    <d v="2025-02-25T05:04:20"/>
    <s v="South"/>
    <n v="1008"/>
    <x v="1"/>
    <n v="7"/>
    <n v="241"/>
    <s v="Accessories"/>
    <n v="323"/>
    <n v="0.1"/>
    <n v="1687"/>
    <n v="1518.3"/>
    <n v="45716"/>
    <n v="43320"/>
    <n v="10"/>
    <n v="4332"/>
    <n v="-4906"/>
    <n v="5269"/>
    <s v="Low Value"/>
    <s v="Office"/>
    <n v="8"/>
    <m/>
    <n v="0.09"/>
  </r>
  <r>
    <s v="Q1-022"/>
    <d v="2025-03-07T23:28:11"/>
    <s v="West"/>
    <n v="1005"/>
    <x v="5"/>
    <n v="7"/>
    <n v="1336"/>
    <s v="Office"/>
    <n v="136"/>
    <n v="0.1"/>
    <n v="9352"/>
    <n v="8416.8000000000011"/>
    <n v="45747"/>
    <n v="34147"/>
    <n v="10"/>
    <n v="3414.7"/>
    <n v="4985.3"/>
    <n v="24821"/>
    <s v="Regular"/>
    <s v="Electronics"/>
    <n v="7"/>
    <m/>
    <n v="0.1"/>
  </r>
  <r>
    <s v="Q1-023"/>
    <d v="2025-01-05T15:34:20"/>
    <s v="West"/>
    <n v="1006"/>
    <x v="4"/>
    <n v="3"/>
    <n v="1752"/>
    <s v="Electronics"/>
    <n v="469"/>
    <n v="0.22"/>
    <n v="5256"/>
    <n v="4099.68"/>
    <n v="45688"/>
    <n v="25640"/>
    <n v="10"/>
    <n v="2564"/>
    <n v="1285"/>
    <n v="34295"/>
    <s v="Regular"/>
    <s v="Accessories"/>
    <n v="3"/>
    <m/>
    <n v="0.02"/>
  </r>
  <r>
    <s v="Q1-024"/>
    <d v="2025-02-27T21:04:42"/>
    <s v="East"/>
    <n v="1020"/>
    <x v="1"/>
    <n v="8"/>
    <n v="911"/>
    <s v="Accessories"/>
    <n v="323"/>
    <n v="0.1"/>
    <n v="7288"/>
    <n v="6559.2"/>
    <n v="45716"/>
    <n v="43320"/>
    <n v="10"/>
    <n v="4332"/>
    <n v="372"/>
    <n v="21494"/>
    <s v="Regular"/>
    <s v="Electronics"/>
    <n v="1"/>
    <m/>
    <n v="0.04"/>
  </r>
  <r>
    <s v="Q1-025"/>
    <d v="2025-02-22T18:31:56"/>
    <s v="South"/>
    <n v="1007"/>
    <x v="2"/>
    <n v="8"/>
    <n v="1770"/>
    <s v="Electronics"/>
    <n v="463"/>
    <n v="0.23"/>
    <n v="14160"/>
    <n v="10903.2"/>
    <n v="45716"/>
    <n v="43320"/>
    <n v="10"/>
    <n v="4332"/>
    <n v="6124"/>
    <n v="29517"/>
    <s v="Regular"/>
    <s v="Accessories"/>
    <n v="9"/>
    <m/>
    <n v="0.05"/>
  </r>
  <r>
    <s v="Q1-026"/>
    <d v="2025-01-03T04:18:37"/>
    <s v="North"/>
    <n v="1009"/>
    <x v="1"/>
    <n v="1"/>
    <n v="1841"/>
    <s v="Accessories"/>
    <n v="323"/>
    <n v="0.1"/>
    <n v="1841"/>
    <n v="1656.9"/>
    <n v="45688"/>
    <n v="25640"/>
    <n v="10"/>
    <n v="2564"/>
    <n v="-1046"/>
    <n v="26022"/>
    <s v="Regular"/>
    <s v="Electronics"/>
    <n v="3"/>
    <m/>
    <n v="0.03"/>
  </r>
  <r>
    <s v="Q1-027"/>
    <d v="2025-03-02T04:31:10"/>
    <s v="East"/>
    <n v="1001"/>
    <x v="2"/>
    <n v="7"/>
    <n v="796"/>
    <s v="Electronics"/>
    <n v="463"/>
    <n v="0.23"/>
    <n v="5572"/>
    <n v="4290.4400000000005"/>
    <n v="45747"/>
    <n v="34147"/>
    <n v="10"/>
    <n v="3414.7"/>
    <n v="-1083.6999999999998"/>
    <n v="23279"/>
    <s v="Regular"/>
    <s v="Electronics"/>
    <n v="6"/>
    <m/>
    <n v="0.05"/>
  </r>
  <r>
    <s v="Q1-028"/>
    <d v="2025-01-28T02:57:54"/>
    <s v="West"/>
    <n v="1003"/>
    <x v="2"/>
    <n v="6"/>
    <n v="1011"/>
    <s v="Electronics"/>
    <n v="463"/>
    <n v="0.23"/>
    <n v="6066"/>
    <n v="4670.82"/>
    <n v="45688"/>
    <n v="25640"/>
    <n v="10"/>
    <n v="2564"/>
    <n v="724"/>
    <n v="31251"/>
    <s v="Regular"/>
    <s v="Office"/>
    <n v="2"/>
    <m/>
    <n v="7.0000000000000007E-2"/>
  </r>
  <r>
    <s v="Q1-029"/>
    <d v="2025-03-06T02:03:03"/>
    <s v="West"/>
    <n v="1011"/>
    <x v="5"/>
    <n v="2"/>
    <n v="1660"/>
    <s v="Office"/>
    <n v="136"/>
    <n v="0.1"/>
    <n v="3320"/>
    <n v="2988"/>
    <n v="45747"/>
    <n v="34147"/>
    <n v="10"/>
    <n v="3414.7"/>
    <n v="-366.69999999999982"/>
    <n v="17906"/>
    <s v="Low Value"/>
    <s v="Electronics"/>
    <n v="9"/>
    <m/>
    <n v="0.05"/>
  </r>
  <r>
    <s v="Q1-030"/>
    <d v="2025-01-09T15:03:51"/>
    <s v="East"/>
    <n v="1016"/>
    <x v="2"/>
    <n v="5"/>
    <n v="1119"/>
    <s v="Electronics"/>
    <n v="463"/>
    <n v="0.23"/>
    <n v="5595"/>
    <n v="4308.1500000000005"/>
    <n v="45688"/>
    <n v="25640"/>
    <n v="10"/>
    <n v="2564"/>
    <n v="716"/>
    <n v="22009"/>
    <s v="Regular"/>
    <s v="Electronics"/>
    <n v="2"/>
    <m/>
    <n v="7.0000000000000007E-2"/>
  </r>
  <r>
    <s v="Q2-001"/>
    <d v="2025-04-23T06:31:04"/>
    <s v="North"/>
    <n v="1016"/>
    <x v="0"/>
    <n v="7"/>
    <n v="1039"/>
    <s v="Electronics"/>
    <n v="492"/>
    <n v="0.14000000000000001"/>
    <n v="7273"/>
    <n v="6254.78"/>
    <n v="45777"/>
    <n v="44423"/>
    <n v="14"/>
    <n v="3173.0714285714284"/>
    <n v="655.92857142857156"/>
    <n v="22009"/>
    <s v="Regular"/>
    <s v="Electronics"/>
    <n v="6"/>
    <m/>
    <n v="0.05"/>
  </r>
  <r>
    <s v="Q2-002"/>
    <d v="2025-06-13T23:38:55"/>
    <s v="West"/>
    <n v="1010"/>
    <x v="3"/>
    <n v="2"/>
    <n v="809"/>
    <s v="Electronics"/>
    <n v="97"/>
    <n v="0.08"/>
    <n v="1618"/>
    <n v="1488.5600000000002"/>
    <n v="45838"/>
    <n v="20079"/>
    <n v="7"/>
    <n v="2868.4285714285716"/>
    <n v="-1444.4285714285716"/>
    <n v="23446"/>
    <s v="Regular"/>
    <s v="Electronics"/>
    <n v="5"/>
    <m/>
    <n v="0"/>
  </r>
  <r>
    <s v="Q2-003"/>
    <d v="2025-04-27T14:59:57"/>
    <s v="West"/>
    <n v="1014"/>
    <x v="2"/>
    <n v="5"/>
    <n v="1951"/>
    <s v="Electronics"/>
    <n v="463"/>
    <n v="0.23"/>
    <n v="9755"/>
    <n v="7511.35"/>
    <n v="45777"/>
    <n v="44423"/>
    <n v="14"/>
    <n v="3173.0714285714284"/>
    <n v="4266.9285714285716"/>
    <n v="31571"/>
    <s v="Regular"/>
    <s v="Electronics"/>
    <n v="3"/>
    <m/>
    <n v="0.04"/>
  </r>
  <r>
    <s v="Q2-004"/>
    <d v="2025-05-12T11:25:10"/>
    <s v="South"/>
    <n v="1009"/>
    <x v="3"/>
    <n v="1"/>
    <n v="1187"/>
    <s v="Electronics"/>
    <n v="97"/>
    <n v="0.08"/>
    <n v="1187"/>
    <n v="1092.04"/>
    <n v="45808"/>
    <n v="32119"/>
    <n v="9"/>
    <n v="3568.7777777777778"/>
    <n v="-2478.7777777777778"/>
    <n v="26022"/>
    <s v="Regular"/>
    <s v="Accessories"/>
    <n v="9"/>
    <m/>
    <n v="0.05"/>
  </r>
  <r>
    <s v="Q2-005"/>
    <d v="2025-04-24T02:44:59"/>
    <s v="North"/>
    <n v="1018"/>
    <x v="1"/>
    <n v="9"/>
    <n v="1259"/>
    <s v="Accessories"/>
    <n v="323"/>
    <n v="0.1"/>
    <n v="11331"/>
    <n v="10197.9"/>
    <n v="45777"/>
    <n v="44423"/>
    <n v="14"/>
    <n v="3173.0714285714284"/>
    <n v="5250.9285714285716"/>
    <n v="31997"/>
    <s v="Regular"/>
    <s v="Electronics"/>
    <n v="4"/>
    <m/>
    <n v="0.04"/>
  </r>
  <r>
    <s v="Q2-006"/>
    <d v="2025-06-25T22:21:06"/>
    <s v="North"/>
    <n v="1010"/>
    <x v="2"/>
    <n v="6"/>
    <n v="1460"/>
    <s v="Electronics"/>
    <n v="463"/>
    <n v="0.23"/>
    <n v="8760"/>
    <n v="6745.2"/>
    <n v="45838"/>
    <n v="20079"/>
    <n v="7"/>
    <n v="2868.4285714285716"/>
    <n v="3113.5714285714284"/>
    <n v="23446"/>
    <s v="Regular"/>
    <s v="Office"/>
    <n v="6"/>
    <m/>
    <n v="0.04"/>
  </r>
  <r>
    <s v="Q2-007"/>
    <d v="2025-04-19T14:18:51"/>
    <s v="East"/>
    <n v="1010"/>
    <x v="5"/>
    <n v="5"/>
    <n v="1485"/>
    <s v="Office"/>
    <n v="136"/>
    <n v="0.1"/>
    <n v="7425"/>
    <n v="6682.5"/>
    <n v="45777"/>
    <n v="44423"/>
    <n v="14"/>
    <n v="3173.0714285714284"/>
    <n v="3571.9285714285716"/>
    <n v="23446"/>
    <s v="Regular"/>
    <s v="Electronics"/>
    <n v="1"/>
    <m/>
    <n v="0.05"/>
  </r>
  <r>
    <s v="Q2-008"/>
    <d v="2025-04-23T04:00:40"/>
    <s v="East"/>
    <n v="1015"/>
    <x v="3"/>
    <n v="3"/>
    <n v="1472"/>
    <s v="Electronics"/>
    <n v="97"/>
    <n v="0.08"/>
    <n v="4416"/>
    <n v="4062.7200000000003"/>
    <n v="45777"/>
    <n v="44423"/>
    <n v="14"/>
    <n v="3173.0714285714284"/>
    <n v="951.92857142857156"/>
    <n v="10260"/>
    <s v="Low Value"/>
    <s v="Electronics"/>
    <n v="4"/>
    <m/>
    <n v="0.04"/>
  </r>
  <r>
    <s v="Q2-009"/>
    <d v="2025-04-12T03:09:59"/>
    <s v="West"/>
    <n v="1020"/>
    <x v="4"/>
    <n v="8"/>
    <n v="1331"/>
    <s v="Electronics"/>
    <n v="469"/>
    <n v="0.22"/>
    <n v="10648"/>
    <n v="8305.44"/>
    <n v="45777"/>
    <n v="44423"/>
    <n v="14"/>
    <n v="3173.0714285714284"/>
    <n v="3722.9285714285716"/>
    <n v="21494"/>
    <s v="Regular"/>
    <s v="Electronics"/>
    <n v="7"/>
    <m/>
    <n v="0.01"/>
  </r>
  <r>
    <s v="Q2-010"/>
    <d v="2025-04-13T18:14:58"/>
    <s v="West"/>
    <n v="1001"/>
    <x v="3"/>
    <n v="2"/>
    <n v="222"/>
    <s v="Electronics"/>
    <n v="97"/>
    <n v="0.08"/>
    <n v="444"/>
    <n v="408.48"/>
    <n v="45777"/>
    <n v="44423"/>
    <n v="14"/>
    <n v="3173.0714285714284"/>
    <n v="-2923.0714285714284"/>
    <n v="23279"/>
    <s v="Regular"/>
    <s v="Accessories"/>
    <n v="4"/>
    <m/>
    <n v="0.03"/>
  </r>
  <r>
    <s v="Q2-011"/>
    <d v="2025-04-07T10:51:29"/>
    <s v="South"/>
    <n v="1012"/>
    <x v="1"/>
    <n v="3"/>
    <n v="1781"/>
    <s v="Accessories"/>
    <n v="323"/>
    <n v="0.1"/>
    <n v="5343"/>
    <n v="4808.7"/>
    <n v="45777"/>
    <n v="44423"/>
    <n v="14"/>
    <n v="3173.0714285714284"/>
    <n v="1200.9285714285716"/>
    <n v="8379"/>
    <s v="Low Value"/>
    <s v="Accessories"/>
    <n v="5"/>
    <m/>
    <n v="0.09"/>
  </r>
  <r>
    <s v="Q2-012"/>
    <d v="2025-06-15T17:46:07"/>
    <s v="West"/>
    <n v="1001"/>
    <x v="1"/>
    <n v="2"/>
    <n v="1545"/>
    <s v="Accessories"/>
    <n v="323"/>
    <n v="0.1"/>
    <n v="3090"/>
    <n v="2781"/>
    <n v="45838"/>
    <n v="20079"/>
    <n v="7"/>
    <n v="2868.4285714285716"/>
    <n v="-424.42857142857156"/>
    <n v="23279"/>
    <s v="Regular"/>
    <s v="Electronics"/>
    <n v="8"/>
    <m/>
    <n v="0"/>
  </r>
  <r>
    <s v="Q2-013"/>
    <d v="2025-06-19T09:22:19"/>
    <s v="East"/>
    <n v="1019"/>
    <x v="4"/>
    <n v="1"/>
    <n v="1437"/>
    <s v="Electronics"/>
    <n v="469"/>
    <n v="0.22"/>
    <n v="1437"/>
    <n v="1120.8600000000001"/>
    <n v="45838"/>
    <n v="20079"/>
    <n v="7"/>
    <n v="2868.4285714285716"/>
    <n v="-1900.4285714285716"/>
    <n v="20633"/>
    <s v="Regular"/>
    <s v="Electronics"/>
    <n v="7"/>
    <m/>
    <n v="0"/>
  </r>
  <r>
    <s v="Q2-014"/>
    <d v="2025-04-07T11:30:29"/>
    <s v="North"/>
    <n v="1009"/>
    <x v="4"/>
    <n v="8"/>
    <n v="1539"/>
    <s v="Electronics"/>
    <n v="469"/>
    <n v="0.22"/>
    <n v="12312"/>
    <n v="9603.36"/>
    <n v="45777"/>
    <n v="44423"/>
    <n v="14"/>
    <n v="3173.0714285714284"/>
    <n v="5386.9285714285716"/>
    <n v="26022"/>
    <s v="Regular"/>
    <s v="Office"/>
    <n v="4"/>
    <m/>
    <n v="0.03"/>
  </r>
  <r>
    <s v="Q2-015"/>
    <d v="2025-05-11T06:16:15"/>
    <s v="North"/>
    <n v="1013"/>
    <x v="5"/>
    <n v="2"/>
    <n v="1414"/>
    <s v="Office"/>
    <n v="136"/>
    <n v="0.1"/>
    <n v="2828"/>
    <n v="2545.2000000000003"/>
    <n v="45808"/>
    <n v="32119"/>
    <n v="9"/>
    <n v="3568.7777777777778"/>
    <n v="-1012.7777777777778"/>
    <n v="17364"/>
    <s v="Low Value"/>
    <s v="Accessories"/>
    <n v="1"/>
    <m/>
    <n v="0.06"/>
  </r>
  <r>
    <s v="Q2-016"/>
    <d v="2025-05-12T02:06:55"/>
    <s v="East"/>
    <n v="1011"/>
    <x v="1"/>
    <n v="9"/>
    <n v="1076"/>
    <s v="Accessories"/>
    <n v="323"/>
    <n v="0.1"/>
    <n v="9684"/>
    <n v="8715.6"/>
    <n v="45808"/>
    <n v="32119"/>
    <n v="9"/>
    <n v="3568.7777777777778"/>
    <n v="3208.2222222222222"/>
    <n v="17906"/>
    <s v="Low Value"/>
    <s v="Office"/>
    <n v="5"/>
    <m/>
    <n v="0.1"/>
  </r>
  <r>
    <s v="Q2-017"/>
    <d v="2025-05-10T19:31:43"/>
    <s v="North"/>
    <n v="1009"/>
    <x v="5"/>
    <n v="1"/>
    <n v="398"/>
    <s v="Office"/>
    <n v="136"/>
    <n v="0.1"/>
    <n v="398"/>
    <n v="358.2"/>
    <n v="45808"/>
    <n v="32119"/>
    <n v="9"/>
    <n v="3568.7777777777778"/>
    <n v="-3306.7777777777778"/>
    <n v="26022"/>
    <s v="Regular"/>
    <s v="Accessories"/>
    <n v="5"/>
    <m/>
    <n v="0.1"/>
  </r>
  <r>
    <s v="Q2-018"/>
    <d v="2025-05-30T18:22:18"/>
    <s v="East"/>
    <n v="1003"/>
    <x v="1"/>
    <n v="8"/>
    <n v="1684"/>
    <s v="Accessories"/>
    <n v="323"/>
    <n v="0.1"/>
    <n v="13472"/>
    <n v="12124.800000000001"/>
    <n v="45808"/>
    <n v="32119"/>
    <n v="9"/>
    <n v="3568.7777777777778"/>
    <n v="7319.2222222222226"/>
    <n v="31251"/>
    <s v="Regular"/>
    <s v="Office"/>
    <n v="6"/>
    <m/>
    <n v="0.1"/>
  </r>
  <r>
    <s v="Q2-019"/>
    <d v="2025-04-02T23:49:16"/>
    <s v="North"/>
    <n v="1010"/>
    <x v="5"/>
    <n v="1"/>
    <n v="648"/>
    <s v="Office"/>
    <n v="136"/>
    <n v="0.1"/>
    <n v="648"/>
    <n v="583.20000000000005"/>
    <n v="45777"/>
    <n v="44423"/>
    <n v="14"/>
    <n v="3173.0714285714284"/>
    <n v="-2661.0714285714284"/>
    <n v="23446"/>
    <s v="Regular"/>
    <s v="Electronics"/>
    <n v="8"/>
    <m/>
    <n v="0.01"/>
  </r>
  <r>
    <s v="Q2-020"/>
    <d v="2025-06-08T20:48:39"/>
    <s v="East"/>
    <n v="1006"/>
    <x v="4"/>
    <n v="6"/>
    <n v="634"/>
    <s v="Electronics"/>
    <n v="469"/>
    <n v="0.22"/>
    <n v="3804"/>
    <n v="2967.12"/>
    <n v="45838"/>
    <n v="20079"/>
    <n v="7"/>
    <n v="2868.4285714285716"/>
    <n v="-1878.4285714285716"/>
    <n v="34295"/>
    <s v="Regular"/>
    <s v="Electronics"/>
    <n v="7"/>
    <m/>
    <n v="7.0000000000000007E-2"/>
  </r>
  <r>
    <s v="Q2-021"/>
    <d v="2025-06-27T20:38:27"/>
    <s v="West"/>
    <n v="1007"/>
    <x v="4"/>
    <n v="3"/>
    <n v="119"/>
    <s v="Electronics"/>
    <n v="469"/>
    <n v="0.22"/>
    <n v="357"/>
    <n v="278.46000000000004"/>
    <n v="45838"/>
    <n v="20079"/>
    <n v="7"/>
    <n v="2868.4285714285716"/>
    <n v="-3918.4285714285716"/>
    <n v="29517"/>
    <s v="Regular"/>
    <s v="Electronics"/>
    <n v="7"/>
    <m/>
    <n v="0.05"/>
  </r>
  <r>
    <s v="Q2-022"/>
    <d v="2025-04-26T13:34:30"/>
    <s v="West"/>
    <n v="1007"/>
    <x v="3"/>
    <n v="6"/>
    <n v="1219"/>
    <s v="Electronics"/>
    <n v="97"/>
    <n v="0.08"/>
    <n v="7314"/>
    <n v="6728.88"/>
    <n v="45777"/>
    <n v="44423"/>
    <n v="14"/>
    <n v="3173.0714285714284"/>
    <n v="3558.9285714285716"/>
    <n v="29517"/>
    <s v="Regular"/>
    <s v="Office"/>
    <n v="3"/>
    <m/>
    <n v="0.02"/>
  </r>
  <r>
    <s v="Q2-023"/>
    <d v="2025-05-13T17:23:54"/>
    <s v="South"/>
    <n v="1020"/>
    <x v="5"/>
    <n v="2"/>
    <n v="1169"/>
    <s v="Office"/>
    <n v="136"/>
    <n v="0.1"/>
    <n v="2338"/>
    <n v="2104.2000000000003"/>
    <n v="45808"/>
    <n v="32119"/>
    <n v="9"/>
    <n v="3568.7777777777778"/>
    <n v="-1502.7777777777778"/>
    <n v="21494"/>
    <s v="Regular"/>
    <s v="Accessories"/>
    <n v="5"/>
    <m/>
    <n v="0.09"/>
  </r>
  <r>
    <s v="Q2-024"/>
    <d v="2025-05-13T01:27:07"/>
    <s v="West"/>
    <n v="1019"/>
    <x v="1"/>
    <n v="4"/>
    <n v="1964"/>
    <s v="Accessories"/>
    <n v="323"/>
    <n v="0.1"/>
    <n v="7856"/>
    <n v="7070.4000000000005"/>
    <n v="45808"/>
    <n v="32119"/>
    <n v="9"/>
    <n v="3568.7777777777778"/>
    <n v="2995.2222222222222"/>
    <n v="20633"/>
    <s v="Regular"/>
    <s v="Electronics"/>
    <n v="3"/>
    <m/>
    <n v="0.02"/>
  </r>
  <r>
    <s v="Q2-025"/>
    <d v="2025-05-20T22:05:39"/>
    <s v="West"/>
    <n v="1002"/>
    <x v="0"/>
    <n v="4"/>
    <n v="1929"/>
    <s v="Electronics"/>
    <n v="492"/>
    <n v="0.14000000000000001"/>
    <n v="7716"/>
    <n v="6635.76"/>
    <n v="45808"/>
    <n v="32119"/>
    <n v="9"/>
    <n v="3568.7777777777778"/>
    <n v="2179.2222222222222"/>
    <n v="14833"/>
    <s v="Low Value"/>
    <s v="Office"/>
    <n v="8"/>
    <m/>
    <n v="0.1"/>
  </r>
  <r>
    <s v="Q2-026"/>
    <d v="2025-04-09T21:25:59"/>
    <s v="East"/>
    <n v="1005"/>
    <x v="5"/>
    <n v="2"/>
    <n v="109"/>
    <s v="Office"/>
    <n v="136"/>
    <n v="0.1"/>
    <n v="218"/>
    <n v="196.20000000000002"/>
    <n v="45777"/>
    <n v="44423"/>
    <n v="14"/>
    <n v="3173.0714285714284"/>
    <n v="-3227.0714285714284"/>
    <n v="24821"/>
    <s v="Regular"/>
    <s v="Electronics"/>
    <n v="2"/>
    <m/>
    <n v="0.06"/>
  </r>
  <r>
    <s v="Q2-027"/>
    <d v="2025-05-05T01:55:50"/>
    <s v="North"/>
    <n v="1009"/>
    <x v="3"/>
    <n v="9"/>
    <n v="249"/>
    <s v="Electronics"/>
    <n v="97"/>
    <n v="0.08"/>
    <n v="2241"/>
    <n v="2061.7200000000003"/>
    <n v="45808"/>
    <n v="32119"/>
    <n v="9"/>
    <n v="3568.7777777777778"/>
    <n v="-2200.7777777777778"/>
    <n v="26022"/>
    <s v="Regular"/>
    <s v="Accessories"/>
    <n v="7"/>
    <m/>
    <n v="0.02"/>
  </r>
  <r>
    <s v="Q2-028"/>
    <d v="2025-04-23T20:24:10"/>
    <s v="East"/>
    <n v="1018"/>
    <x v="1"/>
    <n v="7"/>
    <n v="520"/>
    <s v="Accessories"/>
    <n v="323"/>
    <n v="0.1"/>
    <n v="3640"/>
    <n v="3276"/>
    <n v="45777"/>
    <n v="44423"/>
    <n v="14"/>
    <n v="3173.0714285714284"/>
    <n v="-1794.0714285714284"/>
    <n v="31997"/>
    <s v="Regular"/>
    <s v="Electronics"/>
    <n v="7"/>
    <m/>
    <n v="0.04"/>
  </r>
  <r>
    <s v="Q2-029"/>
    <d v="2025-06-03T21:35:29"/>
    <s v="South"/>
    <n v="1007"/>
    <x v="2"/>
    <n v="9"/>
    <n v="854"/>
    <s v="Electronics"/>
    <n v="463"/>
    <n v="0.23"/>
    <n v="7686"/>
    <n v="5918.22"/>
    <n v="45838"/>
    <n v="20079"/>
    <n v="7"/>
    <n v="2868.4285714285716"/>
    <n v="650.57142857142844"/>
    <n v="29517"/>
    <s v="Regular"/>
    <s v="Accessories"/>
    <n v="1"/>
    <m/>
    <n v="0.02"/>
  </r>
  <r>
    <s v="Q2-030"/>
    <d v="2025-04-05T18:47:22"/>
    <s v="East"/>
    <n v="1006"/>
    <x v="1"/>
    <n v="2"/>
    <n v="1035"/>
    <s v="Accessories"/>
    <n v="323"/>
    <n v="0.1"/>
    <n v="2070"/>
    <n v="1863"/>
    <n v="45777"/>
    <n v="44423"/>
    <n v="14"/>
    <n v="3173.0714285714284"/>
    <n v="-1749.0714285714284"/>
    <n v="34295"/>
    <s v="Regular"/>
    <s v="Electronics"/>
    <n v="8"/>
    <m/>
    <n v="0.04"/>
  </r>
  <r>
    <s v="Q3-001"/>
    <d v="2025-07-01T19:52:10"/>
    <s v="North"/>
    <n v="1001"/>
    <x v="2"/>
    <n v="4"/>
    <n v="160"/>
    <s v="Electronics"/>
    <n v="463"/>
    <n v="0.23"/>
    <n v="640"/>
    <n v="492.8"/>
    <n v="45869"/>
    <n v="36304"/>
    <n v="12"/>
    <n v="3025.3333333333335"/>
    <n v="-4237.3333333333339"/>
    <n v="23279"/>
    <s v="Regular"/>
    <s v="Electronics"/>
    <n v="3"/>
    <m/>
    <n v="0.06"/>
  </r>
  <r>
    <s v="Q3-002"/>
    <d v="2025-07-21T11:59:20"/>
    <s v="South"/>
    <n v="1001"/>
    <x v="2"/>
    <n v="1"/>
    <n v="233"/>
    <s v="Electronics"/>
    <n v="463"/>
    <n v="0.23"/>
    <n v="233"/>
    <n v="179.41"/>
    <n v="45869"/>
    <n v="36304"/>
    <n v="12"/>
    <n v="3025.3333333333335"/>
    <n v="-3255.3333333333335"/>
    <n v="23279"/>
    <s v="Regular"/>
    <s v="Electronics"/>
    <n v="4"/>
    <m/>
    <n v="7.0000000000000007E-2"/>
  </r>
  <r>
    <s v="Q3-003"/>
    <d v="2025-08-25T12:07:21"/>
    <s v="West"/>
    <n v="1010"/>
    <x v="3"/>
    <n v="9"/>
    <n v="312"/>
    <s v="Electronics"/>
    <n v="97"/>
    <n v="0.08"/>
    <n v="2808"/>
    <n v="2583.36"/>
    <n v="45900"/>
    <n v="36734"/>
    <n v="11"/>
    <n v="3339.4545454545455"/>
    <n v="-1404.4545454545455"/>
    <n v="23446"/>
    <s v="Regular"/>
    <s v="Electronics"/>
    <n v="6"/>
    <m/>
    <n v="0.05"/>
  </r>
  <r>
    <s v="Q3-004"/>
    <d v="2025-07-06T05:37:07"/>
    <s v="East"/>
    <n v="1019"/>
    <x v="4"/>
    <n v="3"/>
    <n v="603"/>
    <s v="Electronics"/>
    <n v="469"/>
    <n v="0.22"/>
    <n v="1809"/>
    <n v="1411.02"/>
    <n v="45869"/>
    <n v="36304"/>
    <n v="12"/>
    <n v="3025.3333333333335"/>
    <n v="-2623.3333333333335"/>
    <n v="20633"/>
    <s v="Regular"/>
    <s v="Electronics"/>
    <n v="5"/>
    <m/>
    <n v="0.03"/>
  </r>
  <r>
    <s v="Q3-005"/>
    <d v="2025-07-12T16:09:44"/>
    <s v="South"/>
    <n v="1006"/>
    <x v="2"/>
    <n v="8"/>
    <n v="1987"/>
    <s v="Electronics"/>
    <n v="463"/>
    <n v="0.23"/>
    <n v="15896"/>
    <n v="12239.92"/>
    <n v="45869"/>
    <n v="36304"/>
    <n v="12"/>
    <n v="3025.3333333333335"/>
    <n v="9166.6666666666661"/>
    <n v="34295"/>
    <s v="Regular"/>
    <s v="Electronics"/>
    <n v="3"/>
    <m/>
    <n v="0.06"/>
  </r>
  <r>
    <s v="Q3-006"/>
    <d v="2025-08-22T18:59:12"/>
    <s v="North"/>
    <n v="1008"/>
    <x v="4"/>
    <n v="3"/>
    <n v="589"/>
    <s v="Electronics"/>
    <n v="469"/>
    <n v="0.22"/>
    <n v="1767"/>
    <n v="1378.26"/>
    <n v="45900"/>
    <n v="36734"/>
    <n v="11"/>
    <n v="3339.4545454545455"/>
    <n v="-2979.4545454545455"/>
    <n v="5269"/>
    <s v="Low Value"/>
    <s v="Accessories"/>
    <n v="5"/>
    <m/>
    <n v="0.04"/>
  </r>
  <r>
    <s v="Q3-007"/>
    <d v="2025-08-17T07:43:17"/>
    <s v="East"/>
    <n v="1006"/>
    <x v="1"/>
    <n v="2"/>
    <n v="1742"/>
    <s v="Accessories"/>
    <n v="323"/>
    <n v="0.1"/>
    <n v="3484"/>
    <n v="3135.6"/>
    <n v="45900"/>
    <n v="36734"/>
    <n v="11"/>
    <n v="3339.4545454545455"/>
    <n v="-501.4545454545455"/>
    <n v="34295"/>
    <s v="Regular"/>
    <s v="Electronics"/>
    <n v="4"/>
    <m/>
    <n v="0.04"/>
  </r>
  <r>
    <s v="Q3-008"/>
    <d v="2025-07-19T08:02:05"/>
    <s v="South"/>
    <n v="1015"/>
    <x v="3"/>
    <n v="4"/>
    <n v="1461"/>
    <s v="Electronics"/>
    <n v="97"/>
    <n v="0.08"/>
    <n v="5844"/>
    <n v="5376.4800000000005"/>
    <n v="45869"/>
    <n v="36304"/>
    <n v="12"/>
    <n v="3025.3333333333335"/>
    <n v="2430.6666666666665"/>
    <n v="10260"/>
    <s v="Low Value"/>
    <s v="Electronics"/>
    <n v="8"/>
    <m/>
    <n v="0.03"/>
  </r>
  <r>
    <s v="Q3-009"/>
    <d v="2025-09-14T07:32:35"/>
    <s v="South"/>
    <n v="1002"/>
    <x v="4"/>
    <n v="3"/>
    <n v="1133"/>
    <s v="Electronics"/>
    <n v="469"/>
    <n v="0.22"/>
    <n v="3399"/>
    <n v="2651.2200000000003"/>
    <n v="45930"/>
    <n v="34260"/>
    <n v="7"/>
    <n v="4894.2857142857147"/>
    <n v="-2902.2857142857147"/>
    <n v="14833"/>
    <s v="Low Value"/>
    <s v="Electronics"/>
    <n v="1"/>
    <m/>
    <n v="0.02"/>
  </r>
  <r>
    <s v="Q3-010"/>
    <d v="2025-09-26T13:57:30"/>
    <s v="East"/>
    <n v="1018"/>
    <x v="2"/>
    <n v="5"/>
    <n v="644"/>
    <s v="Electronics"/>
    <n v="463"/>
    <n v="0.23"/>
    <n v="3220"/>
    <n v="2479.4"/>
    <n v="45930"/>
    <n v="34260"/>
    <n v="7"/>
    <n v="4894.2857142857147"/>
    <n v="-3989.2857142857147"/>
    <n v="31997"/>
    <s v="Regular"/>
    <s v="Accessories"/>
    <n v="1"/>
    <m/>
    <n v="0.05"/>
  </r>
  <r>
    <s v="Q3-011"/>
    <d v="2025-08-28T03:43:39"/>
    <s v="North"/>
    <n v="1002"/>
    <x v="1"/>
    <n v="2"/>
    <n v="1265"/>
    <s v="Accessories"/>
    <n v="323"/>
    <n v="0.1"/>
    <n v="2530"/>
    <n v="2277"/>
    <n v="45900"/>
    <n v="36734"/>
    <n v="11"/>
    <n v="3339.4545454545455"/>
    <n v="-1455.4545454545455"/>
    <n v="14833"/>
    <s v="Low Value"/>
    <s v="Electronics"/>
    <n v="6"/>
    <m/>
    <n v="0.05"/>
  </r>
  <r>
    <s v="Q3-012"/>
    <d v="2025-07-30T02:18:33"/>
    <s v="West"/>
    <n v="1011"/>
    <x v="0"/>
    <n v="3"/>
    <n v="1634"/>
    <s v="Electronics"/>
    <n v="492"/>
    <n v="0.14000000000000001"/>
    <n v="4902"/>
    <n v="4215.72"/>
    <n v="45869"/>
    <n v="36304"/>
    <n v="12"/>
    <n v="3025.3333333333335"/>
    <n v="400.66666666666652"/>
    <n v="17906"/>
    <s v="Low Value"/>
    <s v="Office"/>
    <n v="7"/>
    <m/>
    <n v="0.09"/>
  </r>
  <r>
    <s v="Q3-013"/>
    <d v="2025-09-16T22:58:49"/>
    <s v="East"/>
    <n v="1012"/>
    <x v="5"/>
    <n v="3"/>
    <n v="144"/>
    <s v="Office"/>
    <n v="136"/>
    <n v="0.1"/>
    <n v="432"/>
    <n v="388.8"/>
    <n v="45930"/>
    <n v="34260"/>
    <n v="7"/>
    <n v="4894.2857142857147"/>
    <n v="-4870.2857142857147"/>
    <n v="8379"/>
    <s v="Low Value"/>
    <s v="Electronics"/>
    <n v="7"/>
    <m/>
    <n v="7.0000000000000007E-2"/>
  </r>
  <r>
    <s v="Q3-014"/>
    <d v="2025-07-11T12:28:58"/>
    <s v="West"/>
    <n v="1005"/>
    <x v="0"/>
    <n v="8"/>
    <n v="1707"/>
    <s v="Electronics"/>
    <n v="492"/>
    <n v="0.14000000000000001"/>
    <n v="13656"/>
    <n v="11744.16"/>
    <n v="45869"/>
    <n v="36304"/>
    <n v="12"/>
    <n v="3025.3333333333335"/>
    <n v="6694.6666666666661"/>
    <n v="24821"/>
    <s v="Regular"/>
    <s v="Electronics"/>
    <n v="6"/>
    <m/>
    <n v="0.08"/>
  </r>
  <r>
    <s v="Q3-015"/>
    <d v="2025-08-04T02:22:47"/>
    <s v="North"/>
    <n v="1004"/>
    <x v="4"/>
    <n v="4"/>
    <n v="960"/>
    <s v="Electronics"/>
    <n v="469"/>
    <n v="0.22"/>
    <n v="3840"/>
    <n v="2995.2000000000003"/>
    <n v="45900"/>
    <n v="36734"/>
    <n v="11"/>
    <n v="3339.4545454545455"/>
    <n v="-1375.4545454545455"/>
    <n v="8004"/>
    <s v="Low Value"/>
    <s v="Electronics"/>
    <n v="7"/>
    <m/>
    <n v="0.04"/>
  </r>
  <r>
    <s v="Q3-016"/>
    <d v="2025-09-26T05:20:38"/>
    <s v="West"/>
    <n v="1017"/>
    <x v="4"/>
    <n v="5"/>
    <n v="1416"/>
    <s v="Electronics"/>
    <n v="469"/>
    <n v="0.22"/>
    <n v="7080"/>
    <n v="5522.4000000000005"/>
    <n v="45930"/>
    <n v="34260"/>
    <n v="7"/>
    <n v="4894.2857142857147"/>
    <n v="-159.28571428571468"/>
    <n v="38912"/>
    <s v="Regular"/>
    <s v="Office"/>
    <n v="5"/>
    <m/>
    <n v="0.03"/>
  </r>
  <r>
    <s v="Q3-017"/>
    <d v="2025-09-06T10:37:20"/>
    <s v="South"/>
    <n v="1017"/>
    <x v="5"/>
    <n v="2"/>
    <n v="300"/>
    <s v="Office"/>
    <n v="136"/>
    <n v="0.1"/>
    <n v="600"/>
    <n v="540"/>
    <n v="45930"/>
    <n v="34260"/>
    <n v="7"/>
    <n v="4894.2857142857147"/>
    <n v="-4566.2857142857147"/>
    <n v="38912"/>
    <s v="Regular"/>
    <s v="Electronics"/>
    <n v="8"/>
    <m/>
    <n v="7.0000000000000007E-2"/>
  </r>
  <r>
    <s v="Q3-018"/>
    <d v="2025-09-11T18:57:24"/>
    <s v="West"/>
    <n v="1001"/>
    <x v="4"/>
    <n v="7"/>
    <n v="608"/>
    <s v="Electronics"/>
    <n v="469"/>
    <n v="0.22"/>
    <n v="4256"/>
    <n v="3319.6800000000003"/>
    <n v="45930"/>
    <n v="34260"/>
    <n v="7"/>
    <n v="4894.2857142857147"/>
    <n v="-3921.2857142857147"/>
    <n v="23279"/>
    <s v="Regular"/>
    <s v="Electronics"/>
    <n v="4"/>
    <m/>
    <n v="7.0000000000000007E-2"/>
  </r>
  <r>
    <s v="Q3-019"/>
    <d v="2025-07-29T19:10:36"/>
    <s v="West"/>
    <n v="1017"/>
    <x v="4"/>
    <n v="8"/>
    <n v="1150"/>
    <s v="Electronics"/>
    <n v="469"/>
    <n v="0.22"/>
    <n v="9200"/>
    <n v="7176"/>
    <n v="45869"/>
    <n v="36304"/>
    <n v="12"/>
    <n v="3025.3333333333335"/>
    <n v="2422.6666666666665"/>
    <n v="38912"/>
    <s v="Regular"/>
    <s v="Electronics"/>
    <n v="3"/>
    <m/>
    <n v="0.01"/>
  </r>
  <r>
    <s v="Q3-020"/>
    <d v="2025-08-11T16:50:37"/>
    <s v="North"/>
    <n v="1019"/>
    <x v="0"/>
    <n v="2"/>
    <n v="508"/>
    <s v="Electronics"/>
    <n v="492"/>
    <n v="0.14000000000000001"/>
    <n v="1016"/>
    <n v="873.76"/>
    <n v="45900"/>
    <n v="36734"/>
    <n v="11"/>
    <n v="3339.4545454545455"/>
    <n v="-3307.4545454545455"/>
    <n v="20633"/>
    <s v="Regular"/>
    <s v="Electronics"/>
    <n v="4"/>
    <m/>
    <n v="0.01"/>
  </r>
  <r>
    <s v="Q3-021"/>
    <d v="2025-09-26T05:54:47"/>
    <s v="South"/>
    <n v="1019"/>
    <x v="0"/>
    <n v="1"/>
    <n v="1272"/>
    <s v="Electronics"/>
    <n v="492"/>
    <n v="0.14000000000000001"/>
    <n v="1272"/>
    <n v="1093.92"/>
    <n v="45930"/>
    <n v="34260"/>
    <n v="7"/>
    <n v="4894.2857142857147"/>
    <n v="-4114.2857142857147"/>
    <n v="20633"/>
    <s v="Regular"/>
    <s v="Electronics"/>
    <n v="9"/>
    <m/>
    <n v="0.05"/>
  </r>
  <r>
    <s v="Q3-022"/>
    <d v="2025-07-03T08:25:50"/>
    <s v="North"/>
    <n v="1012"/>
    <x v="2"/>
    <n v="1"/>
    <n v="1186"/>
    <s v="Electronics"/>
    <n v="463"/>
    <n v="0.23"/>
    <n v="1186"/>
    <n v="913.22"/>
    <n v="45869"/>
    <n v="36304"/>
    <n v="12"/>
    <n v="3025.3333333333335"/>
    <n v="-2302.3333333333335"/>
    <n v="8379"/>
    <s v="Low Value"/>
    <s v="Electronics"/>
    <n v="8"/>
    <m/>
    <n v="0.02"/>
  </r>
  <r>
    <s v="Q3-023"/>
    <d v="2025-08-05T02:56:56"/>
    <s v="East"/>
    <n v="1001"/>
    <x v="4"/>
    <n v="6"/>
    <n v="272"/>
    <s v="Electronics"/>
    <n v="469"/>
    <n v="0.22"/>
    <n v="1632"/>
    <n v="1272.96"/>
    <n v="45900"/>
    <n v="36734"/>
    <n v="11"/>
    <n v="3339.4545454545455"/>
    <n v="-4521.454545454546"/>
    <n v="23279"/>
    <s v="Regular"/>
    <s v="Accessories"/>
    <n v="2"/>
    <m/>
    <n v="0.1"/>
  </r>
  <r>
    <s v="Q3-024"/>
    <d v="2025-08-06T10:48:58"/>
    <s v="South"/>
    <n v="1014"/>
    <x v="1"/>
    <n v="9"/>
    <n v="1794"/>
    <s v="Accessories"/>
    <n v="323"/>
    <n v="0.1"/>
    <n v="16146"/>
    <n v="14531.4"/>
    <n v="45900"/>
    <n v="36734"/>
    <n v="11"/>
    <n v="3339.4545454545455"/>
    <n v="9899.545454545454"/>
    <n v="31571"/>
    <s v="Regular"/>
    <s v="Electronics"/>
    <n v="6"/>
    <m/>
    <n v="0.08"/>
  </r>
  <r>
    <s v="Q3-025"/>
    <d v="2025-08-26T20:17:21"/>
    <s v="South"/>
    <n v="1006"/>
    <x v="2"/>
    <n v="5"/>
    <n v="757"/>
    <s v="Electronics"/>
    <n v="463"/>
    <n v="0.23"/>
    <n v="3785"/>
    <n v="2914.4500000000003"/>
    <n v="45900"/>
    <n v="36734"/>
    <n v="11"/>
    <n v="3339.4545454545455"/>
    <n v="-1869.4545454545455"/>
    <n v="34295"/>
    <s v="Regular"/>
    <s v="Electronics"/>
    <n v="4"/>
    <m/>
    <n v="0.05"/>
  </r>
  <r>
    <s v="Q3-026"/>
    <d v="2025-07-20T08:37:46"/>
    <s v="West"/>
    <n v="1017"/>
    <x v="3"/>
    <n v="9"/>
    <n v="472"/>
    <s v="Electronics"/>
    <n v="97"/>
    <n v="0.08"/>
    <n v="4248"/>
    <n v="3908.1600000000003"/>
    <n v="45869"/>
    <n v="36304"/>
    <n v="12"/>
    <n v="3025.3333333333335"/>
    <n v="349.66666666666652"/>
    <n v="38912"/>
    <s v="Regular"/>
    <s v="Electronics"/>
    <n v="1"/>
    <m/>
    <n v="0.02"/>
  </r>
  <r>
    <s v="Q3-027"/>
    <d v="2025-07-24T13:05:26"/>
    <s v="East"/>
    <n v="1002"/>
    <x v="4"/>
    <n v="9"/>
    <n v="132"/>
    <s v="Electronics"/>
    <n v="469"/>
    <n v="0.22"/>
    <n v="1188"/>
    <n v="926.64"/>
    <n v="45869"/>
    <n v="36304"/>
    <n v="12"/>
    <n v="3025.3333333333335"/>
    <n v="-6058.3333333333339"/>
    <n v="14833"/>
    <s v="Low Value"/>
    <s v="Electronics"/>
    <n v="7"/>
    <m/>
    <n v="0.01"/>
  </r>
  <r>
    <s v="Q3-028"/>
    <d v="2025-07-23T06:59:14"/>
    <s v="North"/>
    <n v="1018"/>
    <x v="4"/>
    <n v="4"/>
    <n v="1817"/>
    <s v="Electronics"/>
    <n v="469"/>
    <n v="0.22"/>
    <n v="7268"/>
    <n v="5669.04"/>
    <n v="45869"/>
    <n v="36304"/>
    <n v="12"/>
    <n v="3025.3333333333335"/>
    <n v="2366.6666666666665"/>
    <n v="31997"/>
    <s v="Regular"/>
    <s v="Electronics"/>
    <n v="3"/>
    <m/>
    <n v="0.1"/>
  </r>
  <r>
    <s v="Q3-029"/>
    <d v="2025-08-20T15:47:14"/>
    <s v="North"/>
    <n v="1019"/>
    <x v="2"/>
    <n v="5"/>
    <n v="698"/>
    <s v="Electronics"/>
    <n v="463"/>
    <n v="0.23"/>
    <n v="3490"/>
    <n v="2687.3"/>
    <n v="45900"/>
    <n v="36734"/>
    <n v="11"/>
    <n v="3339.4545454545455"/>
    <n v="-2164.4545454545455"/>
    <n v="20633"/>
    <s v="Regular"/>
    <s v="Electronics"/>
    <n v="4"/>
    <m/>
    <n v="7.0000000000000007E-2"/>
  </r>
  <r>
    <s v="Q3-030"/>
    <d v="2025-08-29T06:12:15"/>
    <s v="West"/>
    <n v="1003"/>
    <x v="2"/>
    <n v="3"/>
    <n v="651"/>
    <s v="Electronics"/>
    <n v="463"/>
    <n v="0.23"/>
    <n v="1953"/>
    <n v="1503.81"/>
    <n v="45900"/>
    <n v="36734"/>
    <n v="11"/>
    <n v="3339.4545454545455"/>
    <n v="-2775.4545454545455"/>
    <n v="31251"/>
    <s v="Regular"/>
    <s v="Electronics"/>
    <n v="5"/>
    <m/>
    <n v="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42DFF-7398-4FF0-A23C-B76D228BBD68}" name="PivotTable1" cacheId="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D8" firstHeaderRow="0" firstDataRow="1" firstDataCol="1"/>
  <pivotFields count="22">
    <pivotField compact="0" outline="0" showAll="0"/>
    <pivotField compact="0" numFmtId="164" outline="0" showAll="0">
      <items count="91">
        <item x="25"/>
        <item x="22"/>
        <item x="11"/>
        <item x="4"/>
        <item x="29"/>
        <item x="8"/>
        <item x="14"/>
        <item x="10"/>
        <item x="27"/>
        <item x="16"/>
        <item x="12"/>
        <item x="18"/>
        <item x="3"/>
        <item x="7"/>
        <item x="0"/>
        <item x="24"/>
        <item x="1"/>
        <item x="20"/>
        <item x="23"/>
        <item x="5"/>
        <item x="13"/>
        <item x="26"/>
        <item x="17"/>
        <item x="28"/>
        <item x="21"/>
        <item x="6"/>
        <item x="2"/>
        <item x="19"/>
        <item x="15"/>
        <item x="9"/>
        <item x="48"/>
        <item x="59"/>
        <item x="40"/>
        <item x="43"/>
        <item x="55"/>
        <item x="38"/>
        <item x="39"/>
        <item x="36"/>
        <item x="37"/>
        <item x="30"/>
        <item x="57"/>
        <item x="34"/>
        <item x="51"/>
        <item x="32"/>
        <item x="56"/>
        <item x="46"/>
        <item x="44"/>
        <item x="45"/>
        <item x="33"/>
        <item x="53"/>
        <item x="52"/>
        <item x="54"/>
        <item x="47"/>
        <item x="58"/>
        <item x="49"/>
        <item x="31"/>
        <item x="41"/>
        <item x="42"/>
        <item x="35"/>
        <item x="50"/>
        <item x="60"/>
        <item x="81"/>
        <item x="63"/>
        <item x="73"/>
        <item x="64"/>
        <item x="67"/>
        <item x="85"/>
        <item x="61"/>
        <item x="87"/>
        <item x="86"/>
        <item x="78"/>
        <item x="71"/>
        <item x="74"/>
        <item x="82"/>
        <item x="83"/>
        <item x="79"/>
        <item x="66"/>
        <item x="88"/>
        <item x="65"/>
        <item x="62"/>
        <item x="84"/>
        <item x="70"/>
        <item x="89"/>
        <item x="76"/>
        <item x="77"/>
        <item x="68"/>
        <item x="72"/>
        <item x="75"/>
        <item x="80"/>
        <item x="69"/>
        <item t="default"/>
      </items>
    </pivotField>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Revenue" fld="10" baseField="0" baseItem="0"/>
    <dataField name="Sum of Profit" fld="16" baseField="0" baseItem="0"/>
    <dataField name="Sum of Profit Margin%" fld="21" baseField="0" baseItem="0"/>
  </dataFields>
  <chartFormats count="18">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A15130-BDB6-41C6-BA1C-84412CDC3B50}"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22">
    <pivotField compact="0" outline="0" showAll="0"/>
    <pivotField compact="0" numFmtId="164"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7"/>
  </rowFields>
  <rowItems count="4">
    <i>
      <x/>
    </i>
    <i>
      <x v="1"/>
    </i>
    <i>
      <x v="2"/>
    </i>
    <i t="grand">
      <x/>
    </i>
  </rowItems>
  <colItems count="1">
    <i/>
  </colItems>
  <dataFields count="1">
    <dataField name="Sum of Profit"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53D7C-EC27-4770-804B-6C24D7F91BBB}"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6" firstHeaderRow="1" firstDataRow="1" firstDataCol="1"/>
  <pivotFields count="22">
    <pivotField compact="0" outline="0" showAll="0"/>
    <pivotField compact="0" numFmtId="164" outline="0" showAll="0"/>
    <pivotField compact="0" outline="0" showAll="0">
      <items count="5">
        <item x="2"/>
        <item x="3"/>
        <item x="0"/>
        <item x="1"/>
        <item t="default"/>
      </items>
    </pivotField>
    <pivotField dataField="1"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dragToRow="0" dragToCol="0" dragToPage="0" showAll="0" defaultSubtotal="0"/>
  </pivotFields>
  <rowFields count="1">
    <field x="18"/>
  </rowFields>
  <rowItems count="3">
    <i>
      <x/>
    </i>
    <i>
      <x v="1"/>
    </i>
    <i t="grand">
      <x/>
    </i>
  </rowItems>
  <colItems count="1">
    <i/>
  </colItems>
  <dataFields count="1">
    <dataField name="Count of CustomerID"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45BB0-78AA-4C20-B25D-6A6E6361DA41}"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pivotFields count="22">
    <pivotField compact="0" outline="0" showAll="0"/>
    <pivotField compact="0" numFmtId="164"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2"/>
  </rowFields>
  <rowItems count="5">
    <i>
      <x/>
    </i>
    <i>
      <x v="1"/>
    </i>
    <i>
      <x v="2"/>
    </i>
    <i>
      <x v="3"/>
    </i>
    <i t="grand">
      <x/>
    </i>
  </rowItems>
  <colItems count="1">
    <i/>
  </colItems>
  <dataFields count="1">
    <dataField name="Average of Delivery Days" fld="20" subtotal="average" baseField="0"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2DAA9-8F1C-4A1C-8F2F-D3D3B2EC0F4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B9" firstHeaderRow="1" firstDataRow="1" firstDataCol="1"/>
  <pivotFields count="23">
    <pivotField showAll="0"/>
    <pivotField numFmtId="164" showAll="0"/>
    <pivotField showAll="0"/>
    <pivotField showAll="0"/>
    <pivotField axis="axisRow" showAll="0" measureFilter="1">
      <items count="7">
        <item x="1"/>
        <item x="4"/>
        <item x="2"/>
        <item x="5"/>
        <item x="3"/>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5"/>
    </i>
    <i t="grand">
      <x/>
    </i>
  </rowItems>
  <colItems count="1">
    <i/>
  </colItems>
  <dataFields count="1">
    <dataField name="Sum of Revenue" fld="10" baseField="0" baseItem="0"/>
  </dataFields>
  <pivotTableStyleInfo name="PivotStyleMedium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2B9CD-40ED-4B92-8ADD-E670436A4929}" sourceName="Region">
  <pivotTables>
    <pivotTable tabId="8" name="PivotTable1"/>
    <pivotTable tabId="9" name="PivotTable2"/>
    <pivotTable tabId="10" name="PivotTable3"/>
    <pivotTable tabId="11" name="PivotTable4"/>
  </pivotTables>
  <data>
    <tabular pivotCacheId="99185337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Product_Category" xr10:uid="{34E0FE42-B5BF-4424-BA42-1A3EE03E87AF}" sourceName=" Product Category">
  <pivotTables>
    <pivotTable tabId="8" name="PivotTable1"/>
    <pivotTable tabId="9" name="PivotTable2"/>
    <pivotTable tabId="10" name="PivotTable3"/>
    <pivotTable tabId="11" name="PivotTable4"/>
  </pivotTables>
  <data>
    <tabular pivotCacheId="99185337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0F46E0-8D9E-47C4-81B9-9ACA5BE6969B}" cache="Slicer_Region" caption="Region" style="SlicerStyleLight3" rowHeight="228600"/>
  <slicer name=" Product Category" xr10:uid="{BE4A5843-AAD0-4AA7-AD9E-B5DFA3A1E2EA}" cache="Slicer__Product_Category" caption=" Product Category"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222203E-0F6C-4C99-9B47-37D320206A94}" cache="Slicer_Region" caption="Region" style="SlicerStyleLight3" rowHeight="228600"/>
  <slicer name=" Product Category 1" xr10:uid="{3B32D94A-7778-416F-8AB8-C4F843E6C99A}" cache="Slicer__Product_Category" caption=" Product Category"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2907C0-63FA-44F4-A1F2-28A634A87BD0}" name="Table1" displayName="Table1" ref="A1:D2" totalsRowShown="0">
  <autoFilter ref="A1:D2" xr:uid="{E02907C0-63FA-44F4-A1F2-28A634A87BD0}"/>
  <tableColumns count="4">
    <tableColumn id="1" xr3:uid="{88853FAE-56CF-4BE3-9798-A7598ACC1D90}" name="Total Revenue">
      <calculatedColumnFormula>SUM(Sales_All!K2:K97)</calculatedColumnFormula>
    </tableColumn>
    <tableColumn id="2" xr3:uid="{08189441-9960-4F72-9196-80408991A74B}" name="Total Profit">
      <calculatedColumnFormula>SUM(Sales_All!Q2:Q97)</calculatedColumnFormula>
    </tableColumn>
    <tableColumn id="3" xr3:uid="{D6A50D74-6127-45A2-9925-24B67322F0A8}" name="Top  Customer">
      <calculatedColumnFormula>INDEX(Sales_All!D2:D97,MATCH(MAX(Sales_All!R2:R97),Sales_All!R2:R97,0))</calculatedColumnFormula>
    </tableColumn>
    <tableColumn id="4" xr3:uid="{A97967FA-9B57-420D-9D36-D0C351ED350A}" name="On-Time Delivery%">
      <calculatedColumnFormula>COUNTIF(Sales_All!U2:U97,"&lt;=5")/COUNTA(Sales_All!U2:U97)</calculatedColumnFormula>
    </tableColumn>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370050-B796-4F13-9ECB-667BF7D6DBBB}" name="Table3" displayName="Table3" ref="A2:E11" totalsRowShown="0" headerRowDxfId="0" dataDxfId="1">
  <autoFilter ref="A2:E11" xr:uid="{54370050-B796-4F13-9ECB-667BF7D6DBBB}"/>
  <tableColumns count="5">
    <tableColumn id="1" xr3:uid="{F12DA4AD-A657-43B7-B619-220C43EF97AB}" name="Month" dataDxfId="5"/>
    <tableColumn id="2" xr3:uid="{B54A5D2C-968D-4110-960F-0E8B833DC5C2}" name="Overheads" dataDxfId="4"/>
    <tableColumn id="3" xr3:uid="{6727B916-BD1E-4CA9-91F7-D27A2CBD16CD}" name="Salaries" dataDxfId="3"/>
    <tableColumn id="4" xr3:uid="{6E4A493A-2A91-4619-892F-310689D09B6A}" name="OtherExpenses" dataDxfId="2"/>
    <tableColumn id="5" xr3:uid="{AEF2E7A6-B88A-4831-9EC4-FE68E29D2B42}" name="NetProfit">
      <calculatedColumnFormula>C3-B3</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4E26A6-B6C6-4745-9A6F-E607FDA40ACD}" name="Table2" displayName="Table2" ref="A1:E7" totalsRowShown="0" headerRowDxfId="16" dataDxfId="14" headerRowBorderDxfId="15" tableBorderDxfId="13">
  <autoFilter ref="A1:E7" xr:uid="{9A4E26A6-B6C6-4745-9A6F-E607FDA40ACD}"/>
  <tableColumns count="5">
    <tableColumn id="1" xr3:uid="{4FB9C04D-9986-4BE1-BE17-B4BD3FA310C7}" name="Product" dataDxfId="12"/>
    <tableColumn id="2" xr3:uid="{8923ECBA-434B-4F08-BC5E-2EE890D1A319}" name="Category" dataDxfId="11"/>
    <tableColumn id="3" xr3:uid="{1F5A5E77-BE95-447F-865E-1D814DBDF09B}" name="UnitPrice" dataDxfId="10"/>
    <tableColumn id="4" xr3:uid="{E5FE6A52-59F3-49DA-A759-4FA93B8D4066}" name="UnitCost" dataDxfId="9"/>
    <tableColumn id="5" xr3:uid="{DA271279-6B65-4FD8-B32C-91D7AE1ECD42}" name="Discount" dataDxfId="8"/>
  </tableColumns>
  <tableStyleInfo name="TableStyleMedium1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39841D6-079C-4EDB-98AB-9EAAC3F26463}" sourceName="Date">
  <pivotTables>
    <pivotTable tabId="8" name="PivotTable1"/>
  </pivotTables>
  <state minimalRefreshVersion="6" lastRefreshVersion="6" pivotCacheId="991853377" filterType="unknown">
    <bounds startDate="2025-01-01T04:18:37" endDate="2026-01-01T13:57:3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EAB4BF8-AFFC-4481-A39B-1A1CEB03C503}" cache="NativeTimeline_Date" caption="Date" level="2" selectionLevel="2" scrollPosition="2025-04-21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2135A3F-79C3-4E73-BC2F-AD5A3C130EFF}" cache="NativeTimeline_Date" caption="Date" level="2" selectionLevel="2" scrollPosition="2025-04-21T00:00:00" style="TimeSlicerStyleDark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F7316-9701-4DC5-AA4B-EE0842B3172C}">
  <dimension ref="A3:D8"/>
  <sheetViews>
    <sheetView topLeftCell="B1" workbookViewId="0">
      <selection activeCell="L20" sqref="L20"/>
    </sheetView>
  </sheetViews>
  <sheetFormatPr defaultRowHeight="14.5"/>
  <cols>
    <col min="1" max="1" width="10.7265625" bestFit="1" customWidth="1"/>
    <col min="2" max="2" width="14.36328125" bestFit="1" customWidth="1"/>
    <col min="3" max="3" width="12.453125" bestFit="1" customWidth="1"/>
    <col min="4" max="4" width="19.6328125" bestFit="1" customWidth="1"/>
  </cols>
  <sheetData>
    <row r="3" spans="1:4">
      <c r="A3" s="6" t="s">
        <v>0</v>
      </c>
      <c r="B3" t="s">
        <v>1</v>
      </c>
      <c r="C3" t="s">
        <v>2</v>
      </c>
      <c r="D3" t="s">
        <v>195</v>
      </c>
    </row>
    <row r="4" spans="1:4">
      <c r="A4" t="s">
        <v>3</v>
      </c>
      <c r="B4" s="8">
        <v>104142</v>
      </c>
      <c r="C4" s="8">
        <v>-8369.6170274170272</v>
      </c>
      <c r="D4" s="8">
        <v>-8.0367354452737863E-2</v>
      </c>
    </row>
    <row r="5" spans="1:4">
      <c r="A5" t="s">
        <v>4</v>
      </c>
      <c r="B5" s="8">
        <v>87013</v>
      </c>
      <c r="C5" s="8">
        <v>-12968.720346320348</v>
      </c>
      <c r="D5" s="8">
        <v>-0.14904348024226666</v>
      </c>
    </row>
    <row r="6" spans="1:4">
      <c r="A6" t="s">
        <v>5</v>
      </c>
      <c r="B6" s="8">
        <v>124308</v>
      </c>
      <c r="C6" s="8">
        <v>2883.0782106782076</v>
      </c>
      <c r="D6" s="8">
        <v>2.3193022256638413E-2</v>
      </c>
    </row>
    <row r="7" spans="1:4">
      <c r="A7" t="s">
        <v>6</v>
      </c>
      <c r="B7" s="8">
        <v>125799</v>
      </c>
      <c r="C7" s="8">
        <v>6428.2591630591614</v>
      </c>
      <c r="D7" s="8">
        <v>5.109944564789197E-2</v>
      </c>
    </row>
    <row r="8" spans="1:4">
      <c r="A8" t="s">
        <v>7</v>
      </c>
      <c r="B8" s="8">
        <v>441262</v>
      </c>
      <c r="C8" s="8">
        <v>-12027.000000000009</v>
      </c>
      <c r="D8" s="8">
        <v>-2.7255915986420777E-2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AA325-0F02-4FF1-9095-CCB5616404CB}">
  <dimension ref="A3:B7"/>
  <sheetViews>
    <sheetView workbookViewId="0">
      <selection activeCell="C15" sqref="C15"/>
    </sheetView>
  </sheetViews>
  <sheetFormatPr defaultRowHeight="14.5"/>
  <cols>
    <col min="1" max="1" width="18.1796875" bestFit="1" customWidth="1"/>
    <col min="2" max="2" width="12.453125" bestFit="1" customWidth="1"/>
  </cols>
  <sheetData>
    <row r="3" spans="1:2">
      <c r="A3" s="6" t="s">
        <v>8</v>
      </c>
      <c r="B3" t="s">
        <v>2</v>
      </c>
    </row>
    <row r="4" spans="1:2">
      <c r="A4" t="s">
        <v>9</v>
      </c>
      <c r="B4" s="8">
        <v>7673.8887445887449</v>
      </c>
    </row>
    <row r="5" spans="1:2">
      <c r="A5" t="s">
        <v>10</v>
      </c>
      <c r="B5" s="8">
        <v>-9588.2696969697045</v>
      </c>
    </row>
    <row r="6" spans="1:2">
      <c r="A6" t="s">
        <v>11</v>
      </c>
      <c r="B6" s="8">
        <v>-10112.619047619046</v>
      </c>
    </row>
    <row r="7" spans="1:2">
      <c r="A7" t="s">
        <v>7</v>
      </c>
      <c r="B7" s="8">
        <v>-12027.000000000005</v>
      </c>
    </row>
  </sheetData>
  <conditionalFormatting sqref="B3">
    <cfRule type="colorScale" priority="1">
      <colorScale>
        <cfvo type="min"/>
        <cfvo type="max"/>
        <color rgb="FFFCFCFF"/>
        <color rgb="FF63BE7B"/>
      </colorScale>
    </cfRule>
    <cfRule type="colorScale" priority="2">
      <colorScale>
        <cfvo type="min"/>
        <cfvo type="percentile" val="50"/>
        <cfvo type="max"/>
        <color rgb="FF63BE7B"/>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BF34-DD67-470A-96ED-E07B6BB4B020}">
  <dimension ref="A3:B6"/>
  <sheetViews>
    <sheetView workbookViewId="0">
      <selection activeCell="F12" sqref="E12:F12"/>
    </sheetView>
  </sheetViews>
  <sheetFormatPr defaultRowHeight="14.5"/>
  <cols>
    <col min="1" max="1" width="12.90625" bestFit="1" customWidth="1"/>
    <col min="2" max="2" width="18.7265625" bestFit="1" customWidth="1"/>
  </cols>
  <sheetData>
    <row r="3" spans="1:2">
      <c r="A3" s="6" t="s">
        <v>12</v>
      </c>
      <c r="B3" t="s">
        <v>13</v>
      </c>
    </row>
    <row r="4" spans="1:2">
      <c r="A4" t="s">
        <v>14</v>
      </c>
      <c r="B4" s="8">
        <v>21</v>
      </c>
    </row>
    <row r="5" spans="1:2">
      <c r="A5" t="s">
        <v>15</v>
      </c>
      <c r="B5" s="8">
        <v>69</v>
      </c>
    </row>
    <row r="6" spans="1:2">
      <c r="A6" t="s">
        <v>7</v>
      </c>
      <c r="B6" s="8">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A5F3-33D3-47DB-9E19-A53B01D36A7F}">
  <dimension ref="A3:B8"/>
  <sheetViews>
    <sheetView workbookViewId="0">
      <selection activeCell="C9" sqref="C9"/>
    </sheetView>
  </sheetViews>
  <sheetFormatPr defaultRowHeight="14.5"/>
  <cols>
    <col min="1" max="1" width="10.6328125" bestFit="1" customWidth="1"/>
    <col min="2" max="2" width="21.6328125" bestFit="1" customWidth="1"/>
  </cols>
  <sheetData>
    <row r="3" spans="1:2">
      <c r="A3" s="6" t="s">
        <v>0</v>
      </c>
      <c r="B3" t="s">
        <v>16</v>
      </c>
    </row>
    <row r="4" spans="1:2">
      <c r="A4" t="s">
        <v>3</v>
      </c>
      <c r="B4" s="8">
        <v>4.3809523809523814</v>
      </c>
    </row>
    <row r="5" spans="1:2">
      <c r="A5" t="s">
        <v>4</v>
      </c>
      <c r="B5" s="8">
        <v>4.5909090909090908</v>
      </c>
    </row>
    <row r="6" spans="1:2">
      <c r="A6" t="s">
        <v>5</v>
      </c>
      <c r="B6" s="8">
        <v>5.4347826086956523</v>
      </c>
    </row>
    <row r="7" spans="1:2">
      <c r="A7" t="s">
        <v>6</v>
      </c>
      <c r="B7" s="8">
        <v>5.083333333333333</v>
      </c>
    </row>
    <row r="8" spans="1:2">
      <c r="A8" t="s">
        <v>7</v>
      </c>
      <c r="B8" s="8">
        <v>4.8888888888888893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D375-89AA-4DBF-9CAD-FFE39C35E0CB}">
  <dimension ref="A1:D2"/>
  <sheetViews>
    <sheetView tabSelected="1" workbookViewId="0">
      <selection activeCell="E2" sqref="E2"/>
    </sheetView>
  </sheetViews>
  <sheetFormatPr defaultRowHeight="14.5"/>
  <cols>
    <col min="1" max="1" width="18.7265625" customWidth="1"/>
    <col min="2" max="2" width="17.7265625" customWidth="1"/>
    <col min="3" max="3" width="18.54296875" customWidth="1"/>
    <col min="4" max="4" width="23.54296875" customWidth="1"/>
  </cols>
  <sheetData>
    <row r="1" spans="1:4">
      <c r="A1" t="s">
        <v>17</v>
      </c>
      <c r="B1" t="s">
        <v>18</v>
      </c>
      <c r="C1" t="s">
        <v>19</v>
      </c>
      <c r="D1" t="s">
        <v>198</v>
      </c>
    </row>
    <row r="2" spans="1:4">
      <c r="A2">
        <f>SUM(Sales_All!K2:K97)</f>
        <v>441262</v>
      </c>
      <c r="B2">
        <f>SUM(Sales_All!Q2:Q97)</f>
        <v>-12027.000000000005</v>
      </c>
      <c r="C2">
        <f>INDEX(Sales_All!D2:D97,MATCH(MAX(Sales_All!R2:R97),Sales_All!R2:R97,0))</f>
        <v>1017</v>
      </c>
      <c r="D2">
        <f>COUNTIF(Sales_All!U2:U97,"&lt;=5")/COUNTA(Sales_All!U2:U97)</f>
        <v>0.58888888888888891</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B81C-13B6-42E8-A988-5B0BC58C225F}">
  <dimension ref="A3:E9"/>
  <sheetViews>
    <sheetView zoomScale="97" workbookViewId="0">
      <selection activeCell="Q6" sqref="Q6"/>
    </sheetView>
  </sheetViews>
  <sheetFormatPr defaultRowHeight="14.5"/>
  <cols>
    <col min="1" max="1" width="12.36328125" bestFit="1" customWidth="1"/>
    <col min="2" max="2" width="14.36328125" bestFit="1" customWidth="1"/>
  </cols>
  <sheetData>
    <row r="3" spans="1:5">
      <c r="A3" s="6" t="s">
        <v>197</v>
      </c>
      <c r="B3" t="s">
        <v>1</v>
      </c>
    </row>
    <row r="4" spans="1:5">
      <c r="A4" s="10" t="s">
        <v>42</v>
      </c>
      <c r="B4" s="8">
        <v>92783</v>
      </c>
      <c r="D4" s="9" t="s">
        <v>197</v>
      </c>
      <c r="E4" s="9" t="s">
        <v>1</v>
      </c>
    </row>
    <row r="5" spans="1:5">
      <c r="A5" s="10" t="s">
        <v>48</v>
      </c>
      <c r="B5" s="8">
        <v>100036</v>
      </c>
      <c r="D5" s="12" t="s">
        <v>42</v>
      </c>
      <c r="E5" s="13">
        <v>92783</v>
      </c>
    </row>
    <row r="6" spans="1:5">
      <c r="A6" s="10" t="s">
        <v>44</v>
      </c>
      <c r="B6" s="8">
        <v>100690</v>
      </c>
      <c r="D6" s="12" t="s">
        <v>48</v>
      </c>
      <c r="E6" s="13">
        <v>100036</v>
      </c>
    </row>
    <row r="7" spans="1:5">
      <c r="A7" s="10" t="s">
        <v>53</v>
      </c>
      <c r="B7" s="8">
        <v>49991</v>
      </c>
      <c r="D7" s="12" t="s">
        <v>44</v>
      </c>
      <c r="E7" s="13">
        <v>100690</v>
      </c>
    </row>
    <row r="8" spans="1:5">
      <c r="A8" s="10" t="s">
        <v>40</v>
      </c>
      <c r="B8" s="8">
        <v>60019</v>
      </c>
      <c r="D8" s="12" t="s">
        <v>53</v>
      </c>
      <c r="E8" s="13">
        <v>49991</v>
      </c>
    </row>
    <row r="9" spans="1:5">
      <c r="A9" s="10" t="s">
        <v>7</v>
      </c>
      <c r="B9" s="8">
        <v>403519</v>
      </c>
      <c r="D9" s="12" t="s">
        <v>40</v>
      </c>
      <c r="E9" s="13">
        <v>60019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1"/>
  <sheetViews>
    <sheetView topLeftCell="M1" workbookViewId="0">
      <selection activeCell="X7" sqref="X7"/>
    </sheetView>
  </sheetViews>
  <sheetFormatPr defaultRowHeight="14.5"/>
  <cols>
    <col min="1" max="1" width="20" customWidth="1"/>
    <col min="2" max="2" width="15.453125" customWidth="1"/>
    <col min="5" max="5" width="11.453125" customWidth="1"/>
    <col min="8" max="8" width="24" customWidth="1"/>
    <col min="9" max="9" width="11.7265625" customWidth="1"/>
    <col min="10" max="10" width="13" customWidth="1"/>
    <col min="12" max="12" width="18.54296875" customWidth="1"/>
    <col min="13" max="13" width="15.7265625" customWidth="1"/>
    <col min="14" max="14" width="18.26953125" customWidth="1"/>
    <col min="15" max="15" width="17.54296875" customWidth="1"/>
    <col min="16" max="16" width="18.54296875" customWidth="1"/>
    <col min="17" max="17" width="16.1796875" customWidth="1"/>
    <col min="18" max="18" width="22.26953125" customWidth="1"/>
    <col min="19" max="19" width="15.54296875" customWidth="1"/>
    <col min="20" max="20" width="15" customWidth="1"/>
    <col min="21" max="21" width="13.1796875" customWidth="1"/>
    <col min="23" max="23" width="13.7265625" customWidth="1"/>
  </cols>
  <sheetData>
    <row r="1" spans="1:23" ht="15.5">
      <c r="A1" s="1" t="s">
        <v>20</v>
      </c>
      <c r="B1" s="1" t="s">
        <v>21</v>
      </c>
      <c r="C1" s="1" t="s">
        <v>0</v>
      </c>
      <c r="D1" s="1" t="s">
        <v>22</v>
      </c>
      <c r="E1" s="1" t="s">
        <v>23</v>
      </c>
      <c r="F1" s="1" t="s">
        <v>24</v>
      </c>
      <c r="G1" s="1" t="s">
        <v>25</v>
      </c>
      <c r="H1" s="5" t="s">
        <v>8</v>
      </c>
      <c r="I1" t="s">
        <v>26</v>
      </c>
      <c r="J1" t="s">
        <v>27</v>
      </c>
      <c r="K1" t="s">
        <v>28</v>
      </c>
      <c r="L1" t="s">
        <v>29</v>
      </c>
      <c r="M1" t="s">
        <v>30</v>
      </c>
      <c r="N1" t="s">
        <v>31</v>
      </c>
      <c r="O1" t="s">
        <v>32</v>
      </c>
      <c r="P1" t="s">
        <v>33</v>
      </c>
      <c r="Q1" t="s">
        <v>34</v>
      </c>
      <c r="R1" t="s">
        <v>35</v>
      </c>
      <c r="S1" t="s">
        <v>12</v>
      </c>
      <c r="T1" t="s">
        <v>36</v>
      </c>
      <c r="U1" t="s">
        <v>37</v>
      </c>
      <c r="W1" t="s">
        <v>38</v>
      </c>
    </row>
    <row r="2" spans="1:23">
      <c r="A2" s="2" t="s">
        <v>39</v>
      </c>
      <c r="B2" s="4">
        <v>45708.027094907404</v>
      </c>
      <c r="C2" s="2" t="s">
        <v>5</v>
      </c>
      <c r="D2" s="2">
        <v>1018</v>
      </c>
      <c r="E2" s="2" t="s">
        <v>40</v>
      </c>
      <c r="F2" s="2">
        <v>1</v>
      </c>
      <c r="G2" s="2">
        <v>730</v>
      </c>
      <c r="H2" t="str">
        <f>_xlfn.XLOOKUP(TRIM(E2),Product_List!A:A,Product_List!B:B)</f>
        <v>Electronics</v>
      </c>
      <c r="I2">
        <f>_xlfn.XLOOKUP(TRIM(E2),Product_List!A:A,Product_List!D:D)</f>
        <v>492</v>
      </c>
      <c r="J2">
        <f>_xlfn.XLOOKUP(TRIM(E2),Product_List!A:A,Product_List!E:E)</f>
        <v>0.14000000000000001</v>
      </c>
      <c r="K2">
        <f>F2*G2</f>
        <v>730</v>
      </c>
      <c r="L2">
        <f>K2*(1-J2)</f>
        <v>627.79999999999995</v>
      </c>
      <c r="M2">
        <f>EOMONTH(B2,0)</f>
        <v>45716</v>
      </c>
      <c r="N2">
        <f>_xlfn.XLOOKUP(M2,Finance_Data!A:A,Finance_Data!B:B)</f>
        <v>43320</v>
      </c>
      <c r="O2">
        <f>COUNTIF($M$2:$M$97,M2)</f>
        <v>10</v>
      </c>
      <c r="P2">
        <f>N2/O2</f>
        <v>4332</v>
      </c>
      <c r="Q2">
        <f>K2-(F2*I2)-P2</f>
        <v>-4094</v>
      </c>
      <c r="R2">
        <f>SUMIF($D$2:$D$97,D2,$K$2:$K$97)</f>
        <v>31997</v>
      </c>
      <c r="S2" t="str" cm="1">
        <f t="array" ref="S2">_xlfn.IFS(R2&gt;50000,"VIP",R2&gt;=20000,"Regular",TRUE,"Low Value")</f>
        <v>Regular</v>
      </c>
      <c r="T2" t="str">
        <f>INDEX(Product_List!B:B,MATCH(E3,Product_List!A:A,0))</f>
        <v>Accessories</v>
      </c>
      <c r="U2">
        <f>_xlfn.XLOOKUP(A2,Operations_Data!A:A,Operations_Data!B:B)</f>
        <v>5</v>
      </c>
      <c r="W2">
        <f>_xlfn.XLOOKUP(A2,Operations_Data!A:A,Operations_Data!C:C)</f>
        <v>0.01</v>
      </c>
    </row>
    <row r="3" spans="1:23">
      <c r="A3" s="2" t="s">
        <v>41</v>
      </c>
      <c r="B3" s="4">
        <v>45712.236793981479</v>
      </c>
      <c r="C3" s="2" t="s">
        <v>5</v>
      </c>
      <c r="D3" s="2">
        <v>1004</v>
      </c>
      <c r="E3" s="2" t="s">
        <v>42</v>
      </c>
      <c r="F3" s="2">
        <v>3</v>
      </c>
      <c r="G3" s="2">
        <v>378</v>
      </c>
      <c r="H3" t="str">
        <f>_xlfn.XLOOKUP(TRIM(E3),Product_List!A:A,Product_List!B:B)</f>
        <v>Accessories</v>
      </c>
      <c r="I3">
        <f>_xlfn.XLOOKUP(TRIM(E3),Product_List!A:A,Product_List!D:D)</f>
        <v>323</v>
      </c>
      <c r="J3">
        <f>_xlfn.XLOOKUP(TRIM(E3),Product_List!A:A,Product_List!E:E)</f>
        <v>0.1</v>
      </c>
      <c r="K3">
        <f t="shared" ref="K3:K66" si="0">F3*G3</f>
        <v>1134</v>
      </c>
      <c r="L3">
        <f t="shared" ref="L3:L66" si="1">K3*(1-J3)</f>
        <v>1020.6</v>
      </c>
      <c r="M3">
        <f t="shared" ref="M3:M66" si="2">EOMONTH(B3,0)</f>
        <v>45716</v>
      </c>
      <c r="N3">
        <f>_xlfn.XLOOKUP(M3,Finance_Data!A:A,Finance_Data!B:B)</f>
        <v>43320</v>
      </c>
      <c r="O3">
        <f t="shared" ref="O3:O66" si="3">COUNTIF($M$2:$M$97,M3)</f>
        <v>10</v>
      </c>
      <c r="P3">
        <f t="shared" ref="P3:P66" si="4">N3/O3</f>
        <v>4332</v>
      </c>
      <c r="Q3">
        <f t="shared" ref="Q3:Q66" si="5">K3-(F3*I3)-P3</f>
        <v>-4167</v>
      </c>
      <c r="R3">
        <f t="shared" ref="R3:R66" si="6">SUMIF($D$2:$D$97,D3,$K$2:$K$97)</f>
        <v>8004</v>
      </c>
      <c r="S3" t="str" cm="1">
        <f t="array" ref="S3">_xlfn.IFS(R3&gt;50000,"VIP",R3&gt;=20000,"Regular",TRUE,"Low Value")</f>
        <v>Low Value</v>
      </c>
      <c r="T3" t="str">
        <f>INDEX(Product_List!B:B,MATCH(E4,Product_List!A:A,0))</f>
        <v>Electronics</v>
      </c>
      <c r="U3">
        <f>_xlfn.XLOOKUP(A3,Operations_Data!A:A,Operations_Data!B:B)</f>
        <v>2</v>
      </c>
      <c r="W3">
        <f>_xlfn.XLOOKUP(A3,Operations_Data!A:A,Operations_Data!C:C)</f>
        <v>0.03</v>
      </c>
    </row>
    <row r="4" spans="1:23">
      <c r="A4" s="2" t="s">
        <v>43</v>
      </c>
      <c r="B4" s="4">
        <v>45736.268287037034</v>
      </c>
      <c r="C4" s="2" t="s">
        <v>6</v>
      </c>
      <c r="D4" s="2">
        <v>1005</v>
      </c>
      <c r="E4" s="2" t="s">
        <v>44</v>
      </c>
      <c r="F4" s="2">
        <v>1</v>
      </c>
      <c r="G4" s="2">
        <v>585</v>
      </c>
      <c r="H4" t="str">
        <f>_xlfn.XLOOKUP(TRIM(E4),Product_List!A:A,Product_List!B:B)</f>
        <v>Electronics</v>
      </c>
      <c r="I4">
        <f>_xlfn.XLOOKUP(TRIM(E4),Product_List!A:A,Product_List!D:D)</f>
        <v>463</v>
      </c>
      <c r="J4">
        <f>_xlfn.XLOOKUP(TRIM(E4),Product_List!A:A,Product_List!E:E)</f>
        <v>0.23</v>
      </c>
      <c r="K4">
        <f t="shared" si="0"/>
        <v>585</v>
      </c>
      <c r="L4">
        <f t="shared" si="1"/>
        <v>450.45</v>
      </c>
      <c r="M4">
        <f t="shared" si="2"/>
        <v>45747</v>
      </c>
      <c r="N4">
        <f>_xlfn.XLOOKUP(M4,Finance_Data!A:A,Finance_Data!B:B)</f>
        <v>34147</v>
      </c>
      <c r="O4">
        <f t="shared" si="3"/>
        <v>10</v>
      </c>
      <c r="P4">
        <f t="shared" si="4"/>
        <v>3414.7</v>
      </c>
      <c r="Q4">
        <f t="shared" si="5"/>
        <v>-3292.7</v>
      </c>
      <c r="R4">
        <f t="shared" si="6"/>
        <v>24821</v>
      </c>
      <c r="S4" t="str" cm="1">
        <f t="array" ref="S4">_xlfn.IFS(R4&gt;50000,"VIP",R4&gt;=20000,"Regular",TRUE,"Low Value")</f>
        <v>Regular</v>
      </c>
      <c r="T4" t="str">
        <f>INDEX(Product_List!B:B,MATCH(E5,Product_List!A:A,0))</f>
        <v>Electronics</v>
      </c>
      <c r="U4">
        <f>_xlfn.XLOOKUP(A4,Operations_Data!A:A,Operations_Data!B:B)</f>
        <v>6</v>
      </c>
      <c r="W4">
        <f>_xlfn.XLOOKUP(A4,Operations_Data!A:A,Operations_Data!C:C)</f>
        <v>0.05</v>
      </c>
    </row>
    <row r="5" spans="1:23">
      <c r="A5" s="2" t="s">
        <v>45</v>
      </c>
      <c r="B5" s="4">
        <v>45703.571203703701</v>
      </c>
      <c r="C5" s="2" t="s">
        <v>3</v>
      </c>
      <c r="D5" s="2">
        <v>1018</v>
      </c>
      <c r="E5" s="2" t="s">
        <v>46</v>
      </c>
      <c r="F5" s="2">
        <v>8</v>
      </c>
      <c r="G5" s="2">
        <v>726</v>
      </c>
      <c r="H5" t="str">
        <f>_xlfn.XLOOKUP(TRIM(E5),Product_List!A:A,Product_List!B:B)</f>
        <v>Electronics</v>
      </c>
      <c r="I5">
        <f>_xlfn.XLOOKUP(TRIM(E5),Product_List!A:A,Product_List!D:D)</f>
        <v>97</v>
      </c>
      <c r="J5">
        <f>_xlfn.XLOOKUP(TRIM(E5),Product_List!A:A,Product_List!E:E)</f>
        <v>0.08</v>
      </c>
      <c r="K5">
        <f t="shared" si="0"/>
        <v>5808</v>
      </c>
      <c r="L5">
        <f t="shared" si="1"/>
        <v>5343.3600000000006</v>
      </c>
      <c r="M5">
        <f t="shared" si="2"/>
        <v>45716</v>
      </c>
      <c r="N5">
        <f>_xlfn.XLOOKUP(M5,Finance_Data!A:A,Finance_Data!B:B)</f>
        <v>43320</v>
      </c>
      <c r="O5">
        <f t="shared" si="3"/>
        <v>10</v>
      </c>
      <c r="P5">
        <f t="shared" si="4"/>
        <v>4332</v>
      </c>
      <c r="Q5">
        <f t="shared" si="5"/>
        <v>700</v>
      </c>
      <c r="R5">
        <f t="shared" si="6"/>
        <v>31997</v>
      </c>
      <c r="S5" t="str" cm="1">
        <f t="array" ref="S5">_xlfn.IFS(R5&gt;50000,"VIP",R5&gt;=20000,"Regular",TRUE,"Low Value")</f>
        <v>Regular</v>
      </c>
      <c r="T5" t="str">
        <f>INDEX(Product_List!B:B,MATCH(E6,Product_List!A:A,0))</f>
        <v>Electronics</v>
      </c>
      <c r="U5">
        <f>_xlfn.XLOOKUP(A5,Operations_Data!A:A,Operations_Data!B:B)</f>
        <v>4</v>
      </c>
      <c r="W5">
        <f>_xlfn.XLOOKUP(A5,Operations_Data!A:A,Operations_Data!C:C)</f>
        <v>7.0000000000000007E-2</v>
      </c>
    </row>
    <row r="6" spans="1:23">
      <c r="A6" s="2" t="s">
        <v>47</v>
      </c>
      <c r="B6" s="4">
        <v>45663.685914351852</v>
      </c>
      <c r="C6" s="2" t="s">
        <v>4</v>
      </c>
      <c r="D6" s="2">
        <v>1012</v>
      </c>
      <c r="E6" s="2" t="s">
        <v>48</v>
      </c>
      <c r="F6" s="2">
        <v>2</v>
      </c>
      <c r="G6" s="2">
        <v>709</v>
      </c>
      <c r="H6" t="str">
        <f>_xlfn.XLOOKUP(TRIM(E6),Product_List!A:A,Product_List!B:B)</f>
        <v>Electronics</v>
      </c>
      <c r="I6">
        <f>_xlfn.XLOOKUP(TRIM(E6),Product_List!A:A,Product_List!D:D)</f>
        <v>469</v>
      </c>
      <c r="J6">
        <f>_xlfn.XLOOKUP(TRIM(E6),Product_List!A:A,Product_List!E:E)</f>
        <v>0.22</v>
      </c>
      <c r="K6">
        <f t="shared" si="0"/>
        <v>1418</v>
      </c>
      <c r="L6">
        <f t="shared" si="1"/>
        <v>1106.04</v>
      </c>
      <c r="M6">
        <f t="shared" si="2"/>
        <v>45688</v>
      </c>
      <c r="N6">
        <f>_xlfn.XLOOKUP(M6,Finance_Data!A:A,Finance_Data!B:B)</f>
        <v>25640</v>
      </c>
      <c r="O6">
        <f t="shared" si="3"/>
        <v>10</v>
      </c>
      <c r="P6">
        <f t="shared" si="4"/>
        <v>2564</v>
      </c>
      <c r="Q6">
        <f t="shared" si="5"/>
        <v>-2084</v>
      </c>
      <c r="R6">
        <f t="shared" si="6"/>
        <v>8379</v>
      </c>
      <c r="S6" t="str" cm="1">
        <f t="array" ref="S6">_xlfn.IFS(R6&gt;50000,"VIP",R6&gt;=20000,"Regular",TRUE,"Low Value")</f>
        <v>Low Value</v>
      </c>
      <c r="T6" t="str">
        <f>INDEX(Product_List!B:B,MATCH(E7,Product_List!A:A,0))</f>
        <v>Electronics</v>
      </c>
      <c r="U6">
        <f>_xlfn.XLOOKUP(A6,Operations_Data!A:A,Operations_Data!B:B)</f>
        <v>5</v>
      </c>
      <c r="W6">
        <f>_xlfn.XLOOKUP(A6,Operations_Data!A:A,Operations_Data!C:C)</f>
        <v>0.03</v>
      </c>
    </row>
    <row r="7" spans="1:23">
      <c r="A7" s="2" t="s">
        <v>49</v>
      </c>
      <c r="B7" s="4">
        <v>45716.226770833331</v>
      </c>
      <c r="C7" s="2" t="s">
        <v>3</v>
      </c>
      <c r="D7" s="2">
        <v>1013</v>
      </c>
      <c r="E7" s="2" t="s">
        <v>48</v>
      </c>
      <c r="F7" s="2">
        <v>8</v>
      </c>
      <c r="G7" s="2">
        <v>1817</v>
      </c>
      <c r="H7" t="str">
        <f>_xlfn.XLOOKUP(TRIM(E7),Product_List!A:A,Product_List!B:B)</f>
        <v>Electronics</v>
      </c>
      <c r="I7">
        <f>_xlfn.XLOOKUP(TRIM(E7),Product_List!A:A,Product_List!D:D)</f>
        <v>469</v>
      </c>
      <c r="J7">
        <f>_xlfn.XLOOKUP(TRIM(E7),Product_List!A:A,Product_List!E:E)</f>
        <v>0.22</v>
      </c>
      <c r="K7">
        <f t="shared" si="0"/>
        <v>14536</v>
      </c>
      <c r="L7">
        <f t="shared" si="1"/>
        <v>11338.08</v>
      </c>
      <c r="M7">
        <f t="shared" si="2"/>
        <v>45716</v>
      </c>
      <c r="N7">
        <f>_xlfn.XLOOKUP(M7,Finance_Data!A:A,Finance_Data!B:B)</f>
        <v>43320</v>
      </c>
      <c r="O7">
        <f t="shared" si="3"/>
        <v>10</v>
      </c>
      <c r="P7">
        <f t="shared" si="4"/>
        <v>4332</v>
      </c>
      <c r="Q7">
        <f t="shared" si="5"/>
        <v>6452</v>
      </c>
      <c r="R7">
        <f t="shared" si="6"/>
        <v>17364</v>
      </c>
      <c r="S7" t="str" cm="1">
        <f t="array" ref="S7">_xlfn.IFS(R7&gt;50000,"VIP",R7&gt;=20000,"Regular",TRUE,"Low Value")</f>
        <v>Low Value</v>
      </c>
      <c r="T7" t="str">
        <f>INDEX(Product_List!B:B,MATCH(E8,Product_List!A:A,0))</f>
        <v>Electronics</v>
      </c>
      <c r="U7">
        <f>_xlfn.XLOOKUP(A7,Operations_Data!A:A,Operations_Data!B:B)</f>
        <v>5</v>
      </c>
      <c r="W7">
        <f>_xlfn.XLOOKUP(A7,Operations_Data!A:A,Operations_Data!C:C)</f>
        <v>0.06</v>
      </c>
    </row>
    <row r="8" spans="1:23">
      <c r="A8" s="2" t="s">
        <v>50</v>
      </c>
      <c r="B8" s="4">
        <v>45735.116423611114</v>
      </c>
      <c r="C8" s="2" t="s">
        <v>5</v>
      </c>
      <c r="D8" s="2">
        <v>1017</v>
      </c>
      <c r="E8" s="2" t="s">
        <v>40</v>
      </c>
      <c r="F8" s="2">
        <v>9</v>
      </c>
      <c r="G8" s="2">
        <v>1976</v>
      </c>
      <c r="H8" t="str">
        <f>_xlfn.XLOOKUP(TRIM(E8),Product_List!A:A,Product_List!B:B)</f>
        <v>Electronics</v>
      </c>
      <c r="I8">
        <f>_xlfn.XLOOKUP(TRIM(E8),Product_List!A:A,Product_List!D:D)</f>
        <v>492</v>
      </c>
      <c r="J8">
        <f>_xlfn.XLOOKUP(TRIM(E8),Product_List!A:A,Product_List!E:E)</f>
        <v>0.14000000000000001</v>
      </c>
      <c r="K8">
        <f t="shared" si="0"/>
        <v>17784</v>
      </c>
      <c r="L8">
        <f t="shared" si="1"/>
        <v>15294.24</v>
      </c>
      <c r="M8">
        <f t="shared" si="2"/>
        <v>45747</v>
      </c>
      <c r="N8">
        <f>_xlfn.XLOOKUP(M8,Finance_Data!A:A,Finance_Data!B:B)</f>
        <v>34147</v>
      </c>
      <c r="O8">
        <f t="shared" si="3"/>
        <v>10</v>
      </c>
      <c r="P8">
        <f t="shared" si="4"/>
        <v>3414.7</v>
      </c>
      <c r="Q8">
        <f t="shared" si="5"/>
        <v>9941.2999999999993</v>
      </c>
      <c r="R8">
        <f t="shared" si="6"/>
        <v>38912</v>
      </c>
      <c r="S8" t="str" cm="1">
        <f t="array" ref="S8">_xlfn.IFS(R8&gt;50000,"VIP",R8&gt;=20000,"Regular",TRUE,"Low Value")</f>
        <v>Regular</v>
      </c>
      <c r="T8" t="str">
        <f>INDEX(Product_List!B:B,MATCH(E9,Product_List!A:A,0))</f>
        <v>Electronics</v>
      </c>
      <c r="U8">
        <f>_xlfn.XLOOKUP(A8,Operations_Data!A:A,Operations_Data!B:B)</f>
        <v>4</v>
      </c>
      <c r="W8">
        <f>_xlfn.XLOOKUP(A8,Operations_Data!A:A,Operations_Data!C:C)</f>
        <v>0.02</v>
      </c>
    </row>
    <row r="9" spans="1:23">
      <c r="A9" s="2" t="s">
        <v>51</v>
      </c>
      <c r="B9" s="4">
        <v>45707.394131944442</v>
      </c>
      <c r="C9" s="2" t="s">
        <v>5</v>
      </c>
      <c r="D9" s="2">
        <v>1014</v>
      </c>
      <c r="E9" s="2" t="s">
        <v>40</v>
      </c>
      <c r="F9" s="2">
        <v>5</v>
      </c>
      <c r="G9" s="2">
        <v>1134</v>
      </c>
      <c r="H9" t="str">
        <f>_xlfn.XLOOKUP(TRIM(E9),Product_List!A:A,Product_List!B:B)</f>
        <v>Electronics</v>
      </c>
      <c r="I9">
        <f>_xlfn.XLOOKUP(TRIM(E9),Product_List!A:A,Product_List!D:D)</f>
        <v>492</v>
      </c>
      <c r="J9">
        <f>_xlfn.XLOOKUP(TRIM(E9),Product_List!A:A,Product_List!E:E)</f>
        <v>0.14000000000000001</v>
      </c>
      <c r="K9">
        <f t="shared" si="0"/>
        <v>5670</v>
      </c>
      <c r="L9">
        <f t="shared" si="1"/>
        <v>4876.2</v>
      </c>
      <c r="M9">
        <f t="shared" si="2"/>
        <v>45716</v>
      </c>
      <c r="N9">
        <f>_xlfn.XLOOKUP(M9,Finance_Data!A:A,Finance_Data!B:B)</f>
        <v>43320</v>
      </c>
      <c r="O9">
        <f t="shared" si="3"/>
        <v>10</v>
      </c>
      <c r="P9">
        <f t="shared" si="4"/>
        <v>4332</v>
      </c>
      <c r="Q9">
        <f t="shared" si="5"/>
        <v>-1122</v>
      </c>
      <c r="R9">
        <f t="shared" si="6"/>
        <v>31571</v>
      </c>
      <c r="S9" t="str" cm="1">
        <f t="array" ref="S9">_xlfn.IFS(R9&gt;50000,"VIP",R9&gt;=20000,"Regular",TRUE,"Low Value")</f>
        <v>Regular</v>
      </c>
      <c r="T9" t="str">
        <f>INDEX(Product_List!B:B,MATCH(E10,Product_List!A:A,0))</f>
        <v>Office</v>
      </c>
      <c r="U9">
        <f>_xlfn.XLOOKUP(A9,Operations_Data!A:A,Operations_Data!B:B)</f>
        <v>8</v>
      </c>
      <c r="W9">
        <f>_xlfn.XLOOKUP(A9,Operations_Data!A:A,Operations_Data!C:C)</f>
        <v>7.0000000000000007E-2</v>
      </c>
    </row>
    <row r="10" spans="1:23">
      <c r="A10" s="2" t="s">
        <v>52</v>
      </c>
      <c r="B10" s="4">
        <v>45671.497210648151</v>
      </c>
      <c r="C10" s="2" t="s">
        <v>5</v>
      </c>
      <c r="D10" s="2">
        <v>1020</v>
      </c>
      <c r="E10" s="2" t="s">
        <v>53</v>
      </c>
      <c r="F10" s="2">
        <v>1</v>
      </c>
      <c r="G10" s="2">
        <v>1220</v>
      </c>
      <c r="H10" t="str">
        <f>_xlfn.XLOOKUP(TRIM(E10),Product_List!A:A,Product_List!B:B)</f>
        <v>Office</v>
      </c>
      <c r="I10">
        <f>_xlfn.XLOOKUP(TRIM(E10),Product_List!A:A,Product_List!D:D)</f>
        <v>136</v>
      </c>
      <c r="J10">
        <f>_xlfn.XLOOKUP(TRIM(E10),Product_List!A:A,Product_List!E:E)</f>
        <v>0.1</v>
      </c>
      <c r="K10">
        <f t="shared" si="0"/>
        <v>1220</v>
      </c>
      <c r="L10">
        <f t="shared" si="1"/>
        <v>1098</v>
      </c>
      <c r="M10">
        <f t="shared" si="2"/>
        <v>45688</v>
      </c>
      <c r="N10">
        <f>_xlfn.XLOOKUP(M10,Finance_Data!A:A,Finance_Data!B:B)</f>
        <v>25640</v>
      </c>
      <c r="O10">
        <f t="shared" si="3"/>
        <v>10</v>
      </c>
      <c r="P10">
        <f t="shared" si="4"/>
        <v>2564</v>
      </c>
      <c r="Q10">
        <f t="shared" si="5"/>
        <v>-1480</v>
      </c>
      <c r="R10">
        <f t="shared" si="6"/>
        <v>21494</v>
      </c>
      <c r="S10" t="str" cm="1">
        <f t="array" ref="S10">_xlfn.IFS(R10&gt;50000,"VIP",R10&gt;=20000,"Regular",TRUE,"Low Value")</f>
        <v>Regular</v>
      </c>
      <c r="T10" t="str">
        <f>INDEX(Product_List!B:B,MATCH(E11,Product_List!A:A,0))</f>
        <v>Accessories</v>
      </c>
      <c r="U10">
        <f>_xlfn.XLOOKUP(A10,Operations_Data!A:A,Operations_Data!B:B)</f>
        <v>2</v>
      </c>
      <c r="W10">
        <f>_xlfn.XLOOKUP(A10,Operations_Data!A:A,Operations_Data!C:C)</f>
        <v>0.08</v>
      </c>
    </row>
    <row r="11" spans="1:23">
      <c r="A11" s="2" t="s">
        <v>54</v>
      </c>
      <c r="B11" s="4">
        <v>45743.202222222222</v>
      </c>
      <c r="C11" s="2" t="s">
        <v>6</v>
      </c>
      <c r="D11" s="2">
        <v>1010</v>
      </c>
      <c r="E11" s="2" t="s">
        <v>42</v>
      </c>
      <c r="F11" s="2">
        <v>2</v>
      </c>
      <c r="G11" s="2">
        <v>283</v>
      </c>
      <c r="H11" t="str">
        <f>_xlfn.XLOOKUP(TRIM(E11),Product_List!A:A,Product_List!B:B)</f>
        <v>Accessories</v>
      </c>
      <c r="I11">
        <f>_xlfn.XLOOKUP(TRIM(E11),Product_List!A:A,Product_List!D:D)</f>
        <v>323</v>
      </c>
      <c r="J11">
        <f>_xlfn.XLOOKUP(TRIM(E11),Product_List!A:A,Product_List!E:E)</f>
        <v>0.1</v>
      </c>
      <c r="K11">
        <f t="shared" si="0"/>
        <v>566</v>
      </c>
      <c r="L11">
        <f t="shared" si="1"/>
        <v>509.40000000000003</v>
      </c>
      <c r="M11">
        <f t="shared" si="2"/>
        <v>45747</v>
      </c>
      <c r="N11">
        <f>_xlfn.XLOOKUP(M11,Finance_Data!A:A,Finance_Data!B:B)</f>
        <v>34147</v>
      </c>
      <c r="O11">
        <f t="shared" si="3"/>
        <v>10</v>
      </c>
      <c r="P11">
        <f t="shared" si="4"/>
        <v>3414.7</v>
      </c>
      <c r="Q11">
        <f t="shared" si="5"/>
        <v>-3494.7</v>
      </c>
      <c r="R11">
        <f t="shared" si="6"/>
        <v>23446</v>
      </c>
      <c r="S11" t="str" cm="1">
        <f t="array" ref="S11">_xlfn.IFS(R11&gt;50000,"VIP",R11&gt;=20000,"Regular",TRUE,"Low Value")</f>
        <v>Regular</v>
      </c>
      <c r="T11" t="str">
        <f>INDEX(Product_List!B:B,MATCH(E12,Product_List!A:A,0))</f>
        <v>Electronics</v>
      </c>
      <c r="U11">
        <f>_xlfn.XLOOKUP(A11,Operations_Data!A:A,Operations_Data!B:B)</f>
        <v>2</v>
      </c>
      <c r="W11">
        <f>_xlfn.XLOOKUP(A11,Operations_Data!A:A,Operations_Data!C:C)</f>
        <v>0.08</v>
      </c>
    </row>
    <row r="12" spans="1:23">
      <c r="A12" s="2" t="s">
        <v>55</v>
      </c>
      <c r="B12" s="4">
        <v>45684.929074074076</v>
      </c>
      <c r="C12" s="2" t="s">
        <v>6</v>
      </c>
      <c r="D12" s="2">
        <v>1019</v>
      </c>
      <c r="E12" s="2" t="s">
        <v>48</v>
      </c>
      <c r="F12" s="2">
        <v>9</v>
      </c>
      <c r="G12" s="2">
        <v>417</v>
      </c>
      <c r="H12" t="str">
        <f>_xlfn.XLOOKUP(TRIM(E12),Product_List!A:A,Product_List!B:B)</f>
        <v>Electronics</v>
      </c>
      <c r="I12">
        <f>_xlfn.XLOOKUP(TRIM(E12),Product_List!A:A,Product_List!D:D)</f>
        <v>469</v>
      </c>
      <c r="J12">
        <f>_xlfn.XLOOKUP(TRIM(E12),Product_List!A:A,Product_List!E:E)</f>
        <v>0.22</v>
      </c>
      <c r="K12">
        <f t="shared" si="0"/>
        <v>3753</v>
      </c>
      <c r="L12">
        <f t="shared" si="1"/>
        <v>2927.34</v>
      </c>
      <c r="M12">
        <f t="shared" si="2"/>
        <v>45688</v>
      </c>
      <c r="N12">
        <f>_xlfn.XLOOKUP(M12,Finance_Data!A:A,Finance_Data!B:B)</f>
        <v>25640</v>
      </c>
      <c r="O12">
        <f t="shared" si="3"/>
        <v>10</v>
      </c>
      <c r="P12">
        <f t="shared" si="4"/>
        <v>2564</v>
      </c>
      <c r="Q12">
        <f t="shared" si="5"/>
        <v>-3032</v>
      </c>
      <c r="R12">
        <f t="shared" si="6"/>
        <v>20633</v>
      </c>
      <c r="S12" t="str" cm="1">
        <f t="array" ref="S12">_xlfn.IFS(R12&gt;50000,"VIP",R12&gt;=20000,"Regular",TRUE,"Low Value")</f>
        <v>Regular</v>
      </c>
      <c r="T12" t="str">
        <f>INDEX(Product_List!B:B,MATCH(E13,Product_List!A:A,0))</f>
        <v>Electronics</v>
      </c>
      <c r="U12">
        <f>_xlfn.XLOOKUP(A12,Operations_Data!A:A,Operations_Data!B:B)</f>
        <v>8</v>
      </c>
      <c r="W12">
        <f>_xlfn.XLOOKUP(A12,Operations_Data!A:A,Operations_Data!C:C)</f>
        <v>0.06</v>
      </c>
    </row>
    <row r="13" spans="1:23">
      <c r="A13" s="2" t="s">
        <v>56</v>
      </c>
      <c r="B13" s="4">
        <v>45662.789641203701</v>
      </c>
      <c r="C13" s="2" t="s">
        <v>5</v>
      </c>
      <c r="D13" s="2">
        <v>1016</v>
      </c>
      <c r="E13" s="2" t="s">
        <v>48</v>
      </c>
      <c r="F13" s="2">
        <v>3</v>
      </c>
      <c r="G13" s="2">
        <v>1692</v>
      </c>
      <c r="H13" t="str">
        <f>_xlfn.XLOOKUP(TRIM(E13),Product_List!A:A,Product_List!B:B)</f>
        <v>Electronics</v>
      </c>
      <c r="I13">
        <f>_xlfn.XLOOKUP(TRIM(E13),Product_List!A:A,Product_List!D:D)</f>
        <v>469</v>
      </c>
      <c r="J13">
        <f>_xlfn.XLOOKUP(TRIM(E13),Product_List!A:A,Product_List!E:E)</f>
        <v>0.22</v>
      </c>
      <c r="K13">
        <f t="shared" si="0"/>
        <v>5076</v>
      </c>
      <c r="L13">
        <f t="shared" si="1"/>
        <v>3959.28</v>
      </c>
      <c r="M13">
        <f t="shared" si="2"/>
        <v>45688</v>
      </c>
      <c r="N13">
        <f>_xlfn.XLOOKUP(M13,Finance_Data!A:A,Finance_Data!B:B)</f>
        <v>25640</v>
      </c>
      <c r="O13">
        <f t="shared" si="3"/>
        <v>10</v>
      </c>
      <c r="P13">
        <f t="shared" si="4"/>
        <v>2564</v>
      </c>
      <c r="Q13">
        <f t="shared" si="5"/>
        <v>1105</v>
      </c>
      <c r="R13">
        <f t="shared" si="6"/>
        <v>22009</v>
      </c>
      <c r="S13" t="str" cm="1">
        <f t="array" ref="S13">_xlfn.IFS(R13&gt;50000,"VIP",R13&gt;=20000,"Regular",TRUE,"Low Value")</f>
        <v>Regular</v>
      </c>
      <c r="T13" t="str">
        <f>INDEX(Product_List!B:B,MATCH(E14,Product_List!A:A,0))</f>
        <v>Office</v>
      </c>
      <c r="U13">
        <f>_xlfn.XLOOKUP(A13,Operations_Data!A:A,Operations_Data!B:B)</f>
        <v>8</v>
      </c>
      <c r="W13">
        <f>_xlfn.XLOOKUP(A13,Operations_Data!A:A,Operations_Data!C:C)</f>
        <v>0.03</v>
      </c>
    </row>
    <row r="14" spans="1:23">
      <c r="A14" s="2" t="s">
        <v>57</v>
      </c>
      <c r="B14" s="4">
        <v>45693.460138888891</v>
      </c>
      <c r="C14" s="2" t="s">
        <v>3</v>
      </c>
      <c r="D14" s="2">
        <v>1001</v>
      </c>
      <c r="E14" s="2" t="s">
        <v>53</v>
      </c>
      <c r="F14" s="2">
        <v>4</v>
      </c>
      <c r="G14" s="2">
        <v>1853</v>
      </c>
      <c r="H14" t="str">
        <f>_xlfn.XLOOKUP(TRIM(E14),Product_List!A:A,Product_List!B:B)</f>
        <v>Office</v>
      </c>
      <c r="I14">
        <f>_xlfn.XLOOKUP(TRIM(E14),Product_List!A:A,Product_List!D:D)</f>
        <v>136</v>
      </c>
      <c r="J14">
        <f>_xlfn.XLOOKUP(TRIM(E14),Product_List!A:A,Product_List!E:E)</f>
        <v>0.1</v>
      </c>
      <c r="K14">
        <f t="shared" si="0"/>
        <v>7412</v>
      </c>
      <c r="L14">
        <f t="shared" si="1"/>
        <v>6670.8</v>
      </c>
      <c r="M14">
        <f t="shared" si="2"/>
        <v>45716</v>
      </c>
      <c r="N14">
        <f>_xlfn.XLOOKUP(M14,Finance_Data!A:A,Finance_Data!B:B)</f>
        <v>43320</v>
      </c>
      <c r="O14">
        <f t="shared" si="3"/>
        <v>10</v>
      </c>
      <c r="P14">
        <f t="shared" si="4"/>
        <v>4332</v>
      </c>
      <c r="Q14">
        <f t="shared" si="5"/>
        <v>2536</v>
      </c>
      <c r="R14">
        <f t="shared" si="6"/>
        <v>23279</v>
      </c>
      <c r="S14" t="str" cm="1">
        <f t="array" ref="S14">_xlfn.IFS(R14&gt;50000,"VIP",R14&gt;=20000,"Regular",TRUE,"Low Value")</f>
        <v>Regular</v>
      </c>
      <c r="T14" t="str">
        <f>INDEX(Product_List!B:B,MATCH(E15,Product_List!A:A,0))</f>
        <v>Office</v>
      </c>
      <c r="U14">
        <f>_xlfn.XLOOKUP(A14,Operations_Data!A:A,Operations_Data!B:B)</f>
        <v>1</v>
      </c>
      <c r="W14">
        <f>_xlfn.XLOOKUP(A14,Operations_Data!A:A,Operations_Data!C:C)</f>
        <v>7.0000000000000007E-2</v>
      </c>
    </row>
    <row r="15" spans="1:23">
      <c r="A15" s="2" t="s">
        <v>58</v>
      </c>
      <c r="B15" s="4">
        <v>45717.254155092596</v>
      </c>
      <c r="C15" s="2" t="s">
        <v>5</v>
      </c>
      <c r="D15" s="2">
        <v>1005</v>
      </c>
      <c r="E15" s="2" t="s">
        <v>53</v>
      </c>
      <c r="F15" s="2">
        <v>2</v>
      </c>
      <c r="G15" s="2">
        <v>505</v>
      </c>
      <c r="H15" t="str">
        <f>_xlfn.XLOOKUP(TRIM(E15),Product_List!A:A,Product_List!B:B)</f>
        <v>Office</v>
      </c>
      <c r="I15">
        <f>_xlfn.XLOOKUP(TRIM(E15),Product_List!A:A,Product_List!D:D)</f>
        <v>136</v>
      </c>
      <c r="J15">
        <f>_xlfn.XLOOKUP(TRIM(E15),Product_List!A:A,Product_List!E:E)</f>
        <v>0.1</v>
      </c>
      <c r="K15">
        <f t="shared" si="0"/>
        <v>1010</v>
      </c>
      <c r="L15">
        <f t="shared" si="1"/>
        <v>909</v>
      </c>
      <c r="M15">
        <f t="shared" si="2"/>
        <v>45747</v>
      </c>
      <c r="N15">
        <f>_xlfn.XLOOKUP(M15,Finance_Data!A:A,Finance_Data!B:B)</f>
        <v>34147</v>
      </c>
      <c r="O15">
        <f t="shared" si="3"/>
        <v>10</v>
      </c>
      <c r="P15">
        <f t="shared" si="4"/>
        <v>3414.7</v>
      </c>
      <c r="Q15">
        <f t="shared" si="5"/>
        <v>-2676.7</v>
      </c>
      <c r="R15">
        <f t="shared" si="6"/>
        <v>24821</v>
      </c>
      <c r="S15" t="str" cm="1">
        <f t="array" ref="S15">_xlfn.IFS(R15&gt;50000,"VIP",R15&gt;=20000,"Regular",TRUE,"Low Value")</f>
        <v>Regular</v>
      </c>
      <c r="T15" t="str">
        <f>INDEX(Product_List!B:B,MATCH(E16,Product_List!A:A,0))</f>
        <v>Electronics</v>
      </c>
      <c r="U15">
        <f>_xlfn.XLOOKUP(A15,Operations_Data!A:A,Operations_Data!B:B)</f>
        <v>3</v>
      </c>
      <c r="W15">
        <f>_xlfn.XLOOKUP(A15,Operations_Data!A:A,Operations_Data!C:C)</f>
        <v>0.09</v>
      </c>
    </row>
    <row r="16" spans="1:23">
      <c r="A16" s="2" t="s">
        <v>59</v>
      </c>
      <c r="B16" s="4">
        <v>45672.072662037041</v>
      </c>
      <c r="C16" s="2" t="s">
        <v>5</v>
      </c>
      <c r="D16" s="2">
        <v>1016</v>
      </c>
      <c r="E16" s="2" t="s">
        <v>44</v>
      </c>
      <c r="F16" s="2">
        <v>3</v>
      </c>
      <c r="G16" s="2">
        <v>1355</v>
      </c>
      <c r="H16" t="str">
        <f>_xlfn.XLOOKUP(TRIM(E16),Product_List!A:A,Product_List!B:B)</f>
        <v>Electronics</v>
      </c>
      <c r="I16">
        <f>_xlfn.XLOOKUP(TRIM(E16),Product_List!A:A,Product_List!D:D)</f>
        <v>463</v>
      </c>
      <c r="J16">
        <f>_xlfn.XLOOKUP(TRIM(E16),Product_List!A:A,Product_List!E:E)</f>
        <v>0.23</v>
      </c>
      <c r="K16">
        <f t="shared" si="0"/>
        <v>4065</v>
      </c>
      <c r="L16">
        <f t="shared" si="1"/>
        <v>3130.05</v>
      </c>
      <c r="M16">
        <f t="shared" si="2"/>
        <v>45688</v>
      </c>
      <c r="N16">
        <f>_xlfn.XLOOKUP(M16,Finance_Data!A:A,Finance_Data!B:B)</f>
        <v>25640</v>
      </c>
      <c r="O16">
        <f t="shared" si="3"/>
        <v>10</v>
      </c>
      <c r="P16">
        <f t="shared" si="4"/>
        <v>2564</v>
      </c>
      <c r="Q16">
        <f t="shared" si="5"/>
        <v>112</v>
      </c>
      <c r="R16">
        <f t="shared" si="6"/>
        <v>22009</v>
      </c>
      <c r="S16" t="str" cm="1">
        <f t="array" ref="S16">_xlfn.IFS(R16&gt;50000,"VIP",R16&gt;=20000,"Regular",TRUE,"Low Value")</f>
        <v>Regular</v>
      </c>
      <c r="T16" t="str">
        <f>INDEX(Product_List!B:B,MATCH(E17,Product_List!A:A,0))</f>
        <v>Office</v>
      </c>
      <c r="U16">
        <f>_xlfn.XLOOKUP(A16,Operations_Data!A:A,Operations_Data!B:B)</f>
        <v>4</v>
      </c>
      <c r="W16">
        <f>_xlfn.XLOOKUP(A16,Operations_Data!A:A,Operations_Data!C:C)</f>
        <v>0.06</v>
      </c>
    </row>
    <row r="17" spans="1:23">
      <c r="A17" s="2" t="s">
        <v>60</v>
      </c>
      <c r="B17" s="4">
        <v>45742.873171296298</v>
      </c>
      <c r="C17" s="2" t="s">
        <v>4</v>
      </c>
      <c r="D17" s="2">
        <v>1003</v>
      </c>
      <c r="E17" s="2" t="s">
        <v>53</v>
      </c>
      <c r="F17" s="2">
        <v>8</v>
      </c>
      <c r="G17" s="2">
        <v>1220</v>
      </c>
      <c r="H17" t="str">
        <f>_xlfn.XLOOKUP(TRIM(E17),Product_List!A:A,Product_List!B:B)</f>
        <v>Office</v>
      </c>
      <c r="I17">
        <f>_xlfn.XLOOKUP(TRIM(E17),Product_List!A:A,Product_List!D:D)</f>
        <v>136</v>
      </c>
      <c r="J17">
        <f>_xlfn.XLOOKUP(TRIM(E17),Product_List!A:A,Product_List!E:E)</f>
        <v>0.1</v>
      </c>
      <c r="K17">
        <f t="shared" si="0"/>
        <v>9760</v>
      </c>
      <c r="L17">
        <f t="shared" si="1"/>
        <v>8784</v>
      </c>
      <c r="M17">
        <f t="shared" si="2"/>
        <v>45747</v>
      </c>
      <c r="N17">
        <f>_xlfn.XLOOKUP(M17,Finance_Data!A:A,Finance_Data!B:B)</f>
        <v>34147</v>
      </c>
      <c r="O17">
        <f t="shared" si="3"/>
        <v>10</v>
      </c>
      <c r="P17">
        <f t="shared" si="4"/>
        <v>3414.7</v>
      </c>
      <c r="Q17">
        <f t="shared" si="5"/>
        <v>5257.3</v>
      </c>
      <c r="R17">
        <f t="shared" si="6"/>
        <v>31251</v>
      </c>
      <c r="S17" t="str" cm="1">
        <f t="array" ref="S17">_xlfn.IFS(R17&gt;50000,"VIP",R17&gt;=20000,"Regular",TRUE,"Low Value")</f>
        <v>Regular</v>
      </c>
      <c r="T17" t="str">
        <f>INDEX(Product_List!B:B,MATCH(E18,Product_List!A:A,0))</f>
        <v>Electronics</v>
      </c>
      <c r="U17">
        <f>_xlfn.XLOOKUP(A17,Operations_Data!A:A,Operations_Data!B:B)</f>
        <v>3</v>
      </c>
      <c r="W17">
        <f>_xlfn.XLOOKUP(A17,Operations_Data!A:A,Operations_Data!C:C)</f>
        <v>0.1</v>
      </c>
    </row>
    <row r="18" spans="1:23">
      <c r="A18" s="2" t="s">
        <v>61</v>
      </c>
      <c r="B18" s="4">
        <v>45688.213564814818</v>
      </c>
      <c r="C18" s="2" t="s">
        <v>4</v>
      </c>
      <c r="D18" s="2">
        <v>1008</v>
      </c>
      <c r="E18" s="2" t="s">
        <v>46</v>
      </c>
      <c r="F18" s="2">
        <v>3</v>
      </c>
      <c r="G18" s="2">
        <v>605</v>
      </c>
      <c r="H18" t="str">
        <f>_xlfn.XLOOKUP(TRIM(E18),Product_List!A:A,Product_List!B:B)</f>
        <v>Electronics</v>
      </c>
      <c r="I18">
        <f>_xlfn.XLOOKUP(TRIM(E18),Product_List!A:A,Product_List!D:D)</f>
        <v>97</v>
      </c>
      <c r="J18">
        <f>_xlfn.XLOOKUP(TRIM(E18),Product_List!A:A,Product_List!E:E)</f>
        <v>0.08</v>
      </c>
      <c r="K18">
        <f t="shared" si="0"/>
        <v>1815</v>
      </c>
      <c r="L18">
        <f t="shared" si="1"/>
        <v>1669.8000000000002</v>
      </c>
      <c r="M18">
        <f t="shared" si="2"/>
        <v>45688</v>
      </c>
      <c r="N18">
        <f>_xlfn.XLOOKUP(M18,Finance_Data!A:A,Finance_Data!B:B)</f>
        <v>25640</v>
      </c>
      <c r="O18">
        <f t="shared" si="3"/>
        <v>10</v>
      </c>
      <c r="P18">
        <f t="shared" si="4"/>
        <v>2564</v>
      </c>
      <c r="Q18">
        <f t="shared" si="5"/>
        <v>-1040</v>
      </c>
      <c r="R18">
        <f t="shared" si="6"/>
        <v>5269</v>
      </c>
      <c r="S18" t="str" cm="1">
        <f t="array" ref="S18">_xlfn.IFS(R18&gt;50000,"VIP",R18&gt;=20000,"Regular",TRUE,"Low Value")</f>
        <v>Low Value</v>
      </c>
      <c r="T18" t="str">
        <f>INDEX(Product_List!B:B,MATCH(E19,Product_List!A:A,0))</f>
        <v>Electronics</v>
      </c>
      <c r="U18">
        <f>_xlfn.XLOOKUP(A18,Operations_Data!A:A,Operations_Data!B:B)</f>
        <v>6</v>
      </c>
      <c r="W18">
        <f>_xlfn.XLOOKUP(A18,Operations_Data!A:A,Operations_Data!C:C)</f>
        <v>0.1</v>
      </c>
    </row>
    <row r="19" spans="1:23">
      <c r="A19" s="2" t="s">
        <v>62</v>
      </c>
      <c r="B19" s="4">
        <v>45718.933310185188</v>
      </c>
      <c r="C19" s="2" t="s">
        <v>5</v>
      </c>
      <c r="D19" s="2">
        <v>1009</v>
      </c>
      <c r="E19" s="2" t="s">
        <v>44</v>
      </c>
      <c r="F19" s="2">
        <v>7</v>
      </c>
      <c r="G19" s="2">
        <v>1149</v>
      </c>
      <c r="H19" t="str">
        <f>_xlfn.XLOOKUP(TRIM(E19),Product_List!A:A,Product_List!B:B)</f>
        <v>Electronics</v>
      </c>
      <c r="I19">
        <f>_xlfn.XLOOKUP(TRIM(E19),Product_List!A:A,Product_List!D:D)</f>
        <v>463</v>
      </c>
      <c r="J19">
        <f>_xlfn.XLOOKUP(TRIM(E19),Product_List!A:A,Product_List!E:E)</f>
        <v>0.23</v>
      </c>
      <c r="K19">
        <f t="shared" si="0"/>
        <v>8043</v>
      </c>
      <c r="L19">
        <f t="shared" si="1"/>
        <v>6193.1100000000006</v>
      </c>
      <c r="M19">
        <f t="shared" si="2"/>
        <v>45747</v>
      </c>
      <c r="N19">
        <f>_xlfn.XLOOKUP(M19,Finance_Data!A:A,Finance_Data!B:B)</f>
        <v>34147</v>
      </c>
      <c r="O19">
        <f t="shared" si="3"/>
        <v>10</v>
      </c>
      <c r="P19">
        <f t="shared" si="4"/>
        <v>3414.7</v>
      </c>
      <c r="Q19">
        <f t="shared" si="5"/>
        <v>1387.3000000000002</v>
      </c>
      <c r="R19">
        <f t="shared" si="6"/>
        <v>26022</v>
      </c>
      <c r="S19" t="str" cm="1">
        <f t="array" ref="S19">_xlfn.IFS(R19&gt;50000,"VIP",R19&gt;=20000,"Regular",TRUE,"Low Value")</f>
        <v>Regular</v>
      </c>
      <c r="T19" t="str">
        <f>INDEX(Product_List!B:B,MATCH(E20,Product_List!A:A,0))</f>
        <v>Accessories</v>
      </c>
      <c r="U19">
        <f>_xlfn.XLOOKUP(A19,Operations_Data!A:A,Operations_Data!B:B)</f>
        <v>9</v>
      </c>
      <c r="W19">
        <f>_xlfn.XLOOKUP(A19,Operations_Data!A:A,Operations_Data!C:C)</f>
        <v>0.02</v>
      </c>
    </row>
    <row r="20" spans="1:23">
      <c r="A20" s="2" t="s">
        <v>63</v>
      </c>
      <c r="B20" s="4">
        <v>45696.451539351852</v>
      </c>
      <c r="C20" s="2" t="s">
        <v>4</v>
      </c>
      <c r="D20" s="2">
        <v>1010</v>
      </c>
      <c r="E20" s="2" t="s">
        <v>42</v>
      </c>
      <c r="F20" s="2">
        <v>1</v>
      </c>
      <c r="G20" s="2">
        <v>1621</v>
      </c>
      <c r="H20" t="str">
        <f>_xlfn.XLOOKUP(TRIM(E20),Product_List!A:A,Product_List!B:B)</f>
        <v>Accessories</v>
      </c>
      <c r="I20">
        <f>_xlfn.XLOOKUP(TRIM(E20),Product_List!A:A,Product_List!D:D)</f>
        <v>323</v>
      </c>
      <c r="J20">
        <f>_xlfn.XLOOKUP(TRIM(E20),Product_List!A:A,Product_List!E:E)</f>
        <v>0.1</v>
      </c>
      <c r="K20">
        <f t="shared" si="0"/>
        <v>1621</v>
      </c>
      <c r="L20">
        <f t="shared" si="1"/>
        <v>1458.9</v>
      </c>
      <c r="M20">
        <f t="shared" si="2"/>
        <v>45716</v>
      </c>
      <c r="N20">
        <f>_xlfn.XLOOKUP(M20,Finance_Data!A:A,Finance_Data!B:B)</f>
        <v>43320</v>
      </c>
      <c r="O20">
        <f t="shared" si="3"/>
        <v>10</v>
      </c>
      <c r="P20">
        <f t="shared" si="4"/>
        <v>4332</v>
      </c>
      <c r="Q20">
        <f t="shared" si="5"/>
        <v>-3034</v>
      </c>
      <c r="R20">
        <f t="shared" si="6"/>
        <v>23446</v>
      </c>
      <c r="S20" t="str" cm="1">
        <f t="array" ref="S20">_xlfn.IFS(R20&gt;50000,"VIP",R20&gt;=20000,"Regular",TRUE,"Low Value")</f>
        <v>Regular</v>
      </c>
      <c r="T20" t="str">
        <f>INDEX(Product_List!B:B,MATCH(E21,Product_List!A:A,0))</f>
        <v>Office</v>
      </c>
      <c r="U20">
        <f>_xlfn.XLOOKUP(A20,Operations_Data!A:A,Operations_Data!B:B)</f>
        <v>2</v>
      </c>
      <c r="W20">
        <f>_xlfn.XLOOKUP(A20,Operations_Data!A:A,Operations_Data!C:C)</f>
        <v>0</v>
      </c>
    </row>
    <row r="21" spans="1:23">
      <c r="A21" s="2" t="s">
        <v>64</v>
      </c>
      <c r="B21" s="4">
        <v>45738.816504629627</v>
      </c>
      <c r="C21" s="2" t="s">
        <v>4</v>
      </c>
      <c r="D21" s="2">
        <v>1004</v>
      </c>
      <c r="E21" s="2" t="s">
        <v>53</v>
      </c>
      <c r="F21" s="2">
        <v>3</v>
      </c>
      <c r="G21" s="2">
        <v>1010</v>
      </c>
      <c r="H21" t="str">
        <f>_xlfn.XLOOKUP(TRIM(E21),Product_List!A:A,Product_List!B:B)</f>
        <v>Office</v>
      </c>
      <c r="I21">
        <f>_xlfn.XLOOKUP(TRIM(E21),Product_List!A:A,Product_List!D:D)</f>
        <v>136</v>
      </c>
      <c r="J21">
        <f>_xlfn.XLOOKUP(TRIM(E21),Product_List!A:A,Product_List!E:E)</f>
        <v>0.1</v>
      </c>
      <c r="K21">
        <f t="shared" si="0"/>
        <v>3030</v>
      </c>
      <c r="L21">
        <f t="shared" si="1"/>
        <v>2727</v>
      </c>
      <c r="M21">
        <f t="shared" si="2"/>
        <v>45747</v>
      </c>
      <c r="N21">
        <f>_xlfn.XLOOKUP(M21,Finance_Data!A:A,Finance_Data!B:B)</f>
        <v>34147</v>
      </c>
      <c r="O21">
        <f t="shared" si="3"/>
        <v>10</v>
      </c>
      <c r="P21">
        <f t="shared" si="4"/>
        <v>3414.7</v>
      </c>
      <c r="Q21">
        <f t="shared" si="5"/>
        <v>-792.69999999999982</v>
      </c>
      <c r="R21">
        <f t="shared" si="6"/>
        <v>8004</v>
      </c>
      <c r="S21" t="str" cm="1">
        <f t="array" ref="S21">_xlfn.IFS(R21&gt;50000,"VIP",R21&gt;=20000,"Regular",TRUE,"Low Value")</f>
        <v>Low Value</v>
      </c>
      <c r="T21" t="str">
        <f>INDEX(Product_List!B:B,MATCH(E22,Product_List!A:A,0))</f>
        <v>Accessories</v>
      </c>
      <c r="U21">
        <f>_xlfn.XLOOKUP(A21,Operations_Data!A:A,Operations_Data!B:B)</f>
        <v>1</v>
      </c>
      <c r="W21">
        <f>_xlfn.XLOOKUP(A21,Operations_Data!A:A,Operations_Data!C:C)</f>
        <v>0.02</v>
      </c>
    </row>
    <row r="22" spans="1:23">
      <c r="A22" s="2" t="s">
        <v>65</v>
      </c>
      <c r="B22" s="4">
        <v>45713.211342592593</v>
      </c>
      <c r="C22" s="2" t="s">
        <v>5</v>
      </c>
      <c r="D22" s="2">
        <v>1008</v>
      </c>
      <c r="E22" s="2" t="s">
        <v>42</v>
      </c>
      <c r="F22" s="2">
        <v>7</v>
      </c>
      <c r="G22" s="2">
        <v>241</v>
      </c>
      <c r="H22" t="str">
        <f>_xlfn.XLOOKUP(TRIM(E22),Product_List!A:A,Product_List!B:B)</f>
        <v>Accessories</v>
      </c>
      <c r="I22">
        <f>_xlfn.XLOOKUP(TRIM(E22),Product_List!A:A,Product_List!D:D)</f>
        <v>323</v>
      </c>
      <c r="J22">
        <f>_xlfn.XLOOKUP(TRIM(E22),Product_List!A:A,Product_List!E:E)</f>
        <v>0.1</v>
      </c>
      <c r="K22">
        <f t="shared" si="0"/>
        <v>1687</v>
      </c>
      <c r="L22">
        <f t="shared" si="1"/>
        <v>1518.3</v>
      </c>
      <c r="M22">
        <f t="shared" si="2"/>
        <v>45716</v>
      </c>
      <c r="N22">
        <f>_xlfn.XLOOKUP(M22,Finance_Data!A:A,Finance_Data!B:B)</f>
        <v>43320</v>
      </c>
      <c r="O22">
        <f t="shared" si="3"/>
        <v>10</v>
      </c>
      <c r="P22">
        <f t="shared" si="4"/>
        <v>4332</v>
      </c>
      <c r="Q22">
        <f t="shared" si="5"/>
        <v>-4906</v>
      </c>
      <c r="R22">
        <f t="shared" si="6"/>
        <v>5269</v>
      </c>
      <c r="S22" t="str" cm="1">
        <f t="array" ref="S22">_xlfn.IFS(R22&gt;50000,"VIP",R22&gt;=20000,"Regular",TRUE,"Low Value")</f>
        <v>Low Value</v>
      </c>
      <c r="T22" t="str">
        <f>INDEX(Product_List!B:B,MATCH(E23,Product_List!A:A,0))</f>
        <v>Office</v>
      </c>
      <c r="U22">
        <f>_xlfn.XLOOKUP(A22,Operations_Data!A:A,Operations_Data!B:B)</f>
        <v>8</v>
      </c>
      <c r="W22">
        <f>_xlfn.XLOOKUP(A22,Operations_Data!A:A,Operations_Data!C:C)</f>
        <v>0.09</v>
      </c>
    </row>
    <row r="23" spans="1:23">
      <c r="A23" s="2" t="s">
        <v>66</v>
      </c>
      <c r="B23" s="4">
        <v>45723.977905092594</v>
      </c>
      <c r="C23" s="2" t="s">
        <v>6</v>
      </c>
      <c r="D23" s="2">
        <v>1005</v>
      </c>
      <c r="E23" s="2" t="s">
        <v>53</v>
      </c>
      <c r="F23" s="2">
        <v>7</v>
      </c>
      <c r="G23" s="2">
        <v>1336</v>
      </c>
      <c r="H23" t="str">
        <f>_xlfn.XLOOKUP(TRIM(E23),Product_List!A:A,Product_List!B:B)</f>
        <v>Office</v>
      </c>
      <c r="I23">
        <f>_xlfn.XLOOKUP(TRIM(E23),Product_List!A:A,Product_List!D:D)</f>
        <v>136</v>
      </c>
      <c r="J23">
        <f>_xlfn.XLOOKUP(TRIM(E23),Product_List!A:A,Product_List!E:E)</f>
        <v>0.1</v>
      </c>
      <c r="K23">
        <f t="shared" si="0"/>
        <v>9352</v>
      </c>
      <c r="L23">
        <f t="shared" si="1"/>
        <v>8416.8000000000011</v>
      </c>
      <c r="M23">
        <f t="shared" si="2"/>
        <v>45747</v>
      </c>
      <c r="N23">
        <f>_xlfn.XLOOKUP(M23,Finance_Data!A:A,Finance_Data!B:B)</f>
        <v>34147</v>
      </c>
      <c r="O23">
        <f t="shared" si="3"/>
        <v>10</v>
      </c>
      <c r="P23">
        <f t="shared" si="4"/>
        <v>3414.7</v>
      </c>
      <c r="Q23">
        <f t="shared" si="5"/>
        <v>4985.3</v>
      </c>
      <c r="R23">
        <f t="shared" si="6"/>
        <v>24821</v>
      </c>
      <c r="S23" t="str" cm="1">
        <f t="array" ref="S23">_xlfn.IFS(R23&gt;50000,"VIP",R23&gt;=20000,"Regular",TRUE,"Low Value")</f>
        <v>Regular</v>
      </c>
      <c r="T23" t="str">
        <f>INDEX(Product_List!B:B,MATCH(E24,Product_List!A:A,0))</f>
        <v>Electronics</v>
      </c>
      <c r="U23">
        <f>_xlfn.XLOOKUP(A23,Operations_Data!A:A,Operations_Data!B:B)</f>
        <v>7</v>
      </c>
      <c r="W23">
        <f>_xlfn.XLOOKUP(A23,Operations_Data!A:A,Operations_Data!C:C)</f>
        <v>0.1</v>
      </c>
    </row>
    <row r="24" spans="1:23">
      <c r="A24" s="2" t="s">
        <v>67</v>
      </c>
      <c r="B24" s="4">
        <v>45662.648842592593</v>
      </c>
      <c r="C24" s="2" t="s">
        <v>6</v>
      </c>
      <c r="D24" s="2">
        <v>1006</v>
      </c>
      <c r="E24" s="2" t="s">
        <v>48</v>
      </c>
      <c r="F24" s="2">
        <v>3</v>
      </c>
      <c r="G24" s="2">
        <v>1752</v>
      </c>
      <c r="H24" t="str">
        <f>_xlfn.XLOOKUP(TRIM(E24),Product_List!A:A,Product_List!B:B)</f>
        <v>Electronics</v>
      </c>
      <c r="I24">
        <f>_xlfn.XLOOKUP(TRIM(E24),Product_List!A:A,Product_List!D:D)</f>
        <v>469</v>
      </c>
      <c r="J24">
        <f>_xlfn.XLOOKUP(TRIM(E24),Product_List!A:A,Product_List!E:E)</f>
        <v>0.22</v>
      </c>
      <c r="K24">
        <f t="shared" si="0"/>
        <v>5256</v>
      </c>
      <c r="L24">
        <f t="shared" si="1"/>
        <v>4099.68</v>
      </c>
      <c r="M24">
        <f t="shared" si="2"/>
        <v>45688</v>
      </c>
      <c r="N24">
        <f>_xlfn.XLOOKUP(M24,Finance_Data!A:A,Finance_Data!B:B)</f>
        <v>25640</v>
      </c>
      <c r="O24">
        <f t="shared" si="3"/>
        <v>10</v>
      </c>
      <c r="P24">
        <f t="shared" si="4"/>
        <v>2564</v>
      </c>
      <c r="Q24">
        <f t="shared" si="5"/>
        <v>1285</v>
      </c>
      <c r="R24">
        <f t="shared" si="6"/>
        <v>34295</v>
      </c>
      <c r="S24" t="str" cm="1">
        <f t="array" ref="S24">_xlfn.IFS(R24&gt;50000,"VIP",R24&gt;=20000,"Regular",TRUE,"Low Value")</f>
        <v>Regular</v>
      </c>
      <c r="T24" t="str">
        <f>INDEX(Product_List!B:B,MATCH(E25,Product_List!A:A,0))</f>
        <v>Accessories</v>
      </c>
      <c r="U24">
        <f>_xlfn.XLOOKUP(A24,Operations_Data!A:A,Operations_Data!B:B)</f>
        <v>3</v>
      </c>
      <c r="W24">
        <f>_xlfn.XLOOKUP(A24,Operations_Data!A:A,Operations_Data!C:C)</f>
        <v>0.02</v>
      </c>
    </row>
    <row r="25" spans="1:23">
      <c r="A25" s="2" t="s">
        <v>68</v>
      </c>
      <c r="B25" s="4">
        <v>45715.878263888888</v>
      </c>
      <c r="C25" s="2" t="s">
        <v>3</v>
      </c>
      <c r="D25" s="2">
        <v>1020</v>
      </c>
      <c r="E25" s="2" t="s">
        <v>42</v>
      </c>
      <c r="F25" s="2">
        <v>8</v>
      </c>
      <c r="G25" s="2">
        <v>911</v>
      </c>
      <c r="H25" t="str">
        <f>_xlfn.XLOOKUP(TRIM(E25),Product_List!A:A,Product_List!B:B)</f>
        <v>Accessories</v>
      </c>
      <c r="I25">
        <f>_xlfn.XLOOKUP(TRIM(E25),Product_List!A:A,Product_List!D:D)</f>
        <v>323</v>
      </c>
      <c r="J25">
        <f>_xlfn.XLOOKUP(TRIM(E25),Product_List!A:A,Product_List!E:E)</f>
        <v>0.1</v>
      </c>
      <c r="K25">
        <f t="shared" si="0"/>
        <v>7288</v>
      </c>
      <c r="L25">
        <f t="shared" si="1"/>
        <v>6559.2</v>
      </c>
      <c r="M25">
        <f t="shared" si="2"/>
        <v>45716</v>
      </c>
      <c r="N25">
        <f>_xlfn.XLOOKUP(M25,Finance_Data!A:A,Finance_Data!B:B)</f>
        <v>43320</v>
      </c>
      <c r="O25">
        <f t="shared" si="3"/>
        <v>10</v>
      </c>
      <c r="P25">
        <f t="shared" si="4"/>
        <v>4332</v>
      </c>
      <c r="Q25">
        <f t="shared" si="5"/>
        <v>372</v>
      </c>
      <c r="R25">
        <f t="shared" si="6"/>
        <v>21494</v>
      </c>
      <c r="S25" t="str" cm="1">
        <f t="array" ref="S25">_xlfn.IFS(R25&gt;50000,"VIP",R25&gt;=20000,"Regular",TRUE,"Low Value")</f>
        <v>Regular</v>
      </c>
      <c r="T25" t="str">
        <f>INDEX(Product_List!B:B,MATCH(E26,Product_List!A:A,0))</f>
        <v>Electronics</v>
      </c>
      <c r="U25">
        <f>_xlfn.XLOOKUP(A25,Operations_Data!A:A,Operations_Data!B:B)</f>
        <v>1</v>
      </c>
      <c r="W25">
        <f>_xlfn.XLOOKUP(A25,Operations_Data!A:A,Operations_Data!C:C)</f>
        <v>0.04</v>
      </c>
    </row>
    <row r="26" spans="1:23">
      <c r="A26" s="2" t="s">
        <v>69</v>
      </c>
      <c r="B26" s="4">
        <v>45710.772175925929</v>
      </c>
      <c r="C26" s="2" t="s">
        <v>5</v>
      </c>
      <c r="D26" s="2">
        <v>1007</v>
      </c>
      <c r="E26" s="2" t="s">
        <v>44</v>
      </c>
      <c r="F26" s="2">
        <v>8</v>
      </c>
      <c r="G26" s="2">
        <v>1770</v>
      </c>
      <c r="H26" t="str">
        <f>_xlfn.XLOOKUP(TRIM(E26),Product_List!A:A,Product_List!B:B)</f>
        <v>Electronics</v>
      </c>
      <c r="I26">
        <f>_xlfn.XLOOKUP(TRIM(E26),Product_List!A:A,Product_List!D:D)</f>
        <v>463</v>
      </c>
      <c r="J26">
        <f>_xlfn.XLOOKUP(TRIM(E26),Product_List!A:A,Product_List!E:E)</f>
        <v>0.23</v>
      </c>
      <c r="K26">
        <f t="shared" si="0"/>
        <v>14160</v>
      </c>
      <c r="L26">
        <f t="shared" si="1"/>
        <v>10903.2</v>
      </c>
      <c r="M26">
        <f t="shared" si="2"/>
        <v>45716</v>
      </c>
      <c r="N26">
        <f>_xlfn.XLOOKUP(M26,Finance_Data!A:A,Finance_Data!B:B)</f>
        <v>43320</v>
      </c>
      <c r="O26">
        <f t="shared" si="3"/>
        <v>10</v>
      </c>
      <c r="P26">
        <f t="shared" si="4"/>
        <v>4332</v>
      </c>
      <c r="Q26">
        <f t="shared" si="5"/>
        <v>6124</v>
      </c>
      <c r="R26">
        <f t="shared" si="6"/>
        <v>29517</v>
      </c>
      <c r="S26" t="str" cm="1">
        <f t="array" ref="S26">_xlfn.IFS(R26&gt;50000,"VIP",R26&gt;=20000,"Regular",TRUE,"Low Value")</f>
        <v>Regular</v>
      </c>
      <c r="T26" t="str">
        <f>INDEX(Product_List!B:B,MATCH(E27,Product_List!A:A,0))</f>
        <v>Accessories</v>
      </c>
      <c r="U26">
        <f>_xlfn.XLOOKUP(A26,Operations_Data!A:A,Operations_Data!B:B)</f>
        <v>9</v>
      </c>
      <c r="W26">
        <f>_xlfn.XLOOKUP(A26,Operations_Data!A:A,Operations_Data!C:C)</f>
        <v>0.05</v>
      </c>
    </row>
    <row r="27" spans="1:23">
      <c r="A27" s="2" t="s">
        <v>70</v>
      </c>
      <c r="B27" s="4">
        <v>45660.179594907408</v>
      </c>
      <c r="C27" s="2" t="s">
        <v>4</v>
      </c>
      <c r="D27" s="2">
        <v>1009</v>
      </c>
      <c r="E27" s="2" t="s">
        <v>42</v>
      </c>
      <c r="F27" s="2">
        <v>1</v>
      </c>
      <c r="G27" s="2">
        <v>1841</v>
      </c>
      <c r="H27" t="str">
        <f>_xlfn.XLOOKUP(TRIM(E27),Product_List!A:A,Product_List!B:B)</f>
        <v>Accessories</v>
      </c>
      <c r="I27">
        <f>_xlfn.XLOOKUP(TRIM(E27),Product_List!A:A,Product_List!D:D)</f>
        <v>323</v>
      </c>
      <c r="J27">
        <f>_xlfn.XLOOKUP(TRIM(E27),Product_List!A:A,Product_List!E:E)</f>
        <v>0.1</v>
      </c>
      <c r="K27">
        <f t="shared" si="0"/>
        <v>1841</v>
      </c>
      <c r="L27">
        <f t="shared" si="1"/>
        <v>1656.9</v>
      </c>
      <c r="M27">
        <f t="shared" si="2"/>
        <v>45688</v>
      </c>
      <c r="N27">
        <f>_xlfn.XLOOKUP(M27,Finance_Data!A:A,Finance_Data!B:B)</f>
        <v>25640</v>
      </c>
      <c r="O27">
        <f t="shared" si="3"/>
        <v>10</v>
      </c>
      <c r="P27">
        <f t="shared" si="4"/>
        <v>2564</v>
      </c>
      <c r="Q27">
        <f t="shared" si="5"/>
        <v>-1046</v>
      </c>
      <c r="R27">
        <f t="shared" si="6"/>
        <v>26022</v>
      </c>
      <c r="S27" t="str" cm="1">
        <f t="array" ref="S27">_xlfn.IFS(R27&gt;50000,"VIP",R27&gt;=20000,"Regular",TRUE,"Low Value")</f>
        <v>Regular</v>
      </c>
      <c r="T27" t="str">
        <f>INDEX(Product_List!B:B,MATCH(E28,Product_List!A:A,0))</f>
        <v>Electronics</v>
      </c>
      <c r="U27">
        <f>_xlfn.XLOOKUP(A27,Operations_Data!A:A,Operations_Data!B:B)</f>
        <v>3</v>
      </c>
      <c r="W27">
        <f>_xlfn.XLOOKUP(A27,Operations_Data!A:A,Operations_Data!C:C)</f>
        <v>0.03</v>
      </c>
    </row>
    <row r="28" spans="1:23">
      <c r="A28" s="2" t="s">
        <v>71</v>
      </c>
      <c r="B28" s="4">
        <v>45718.188310185185</v>
      </c>
      <c r="C28" s="2" t="s">
        <v>3</v>
      </c>
      <c r="D28" s="2">
        <v>1001</v>
      </c>
      <c r="E28" s="2" t="s">
        <v>44</v>
      </c>
      <c r="F28" s="2">
        <v>7</v>
      </c>
      <c r="G28" s="2">
        <v>796</v>
      </c>
      <c r="H28" t="str">
        <f>_xlfn.XLOOKUP(TRIM(E28),Product_List!A:A,Product_List!B:B)</f>
        <v>Electronics</v>
      </c>
      <c r="I28">
        <f>_xlfn.XLOOKUP(TRIM(E28),Product_List!A:A,Product_List!D:D)</f>
        <v>463</v>
      </c>
      <c r="J28">
        <f>_xlfn.XLOOKUP(TRIM(E28),Product_List!A:A,Product_List!E:E)</f>
        <v>0.23</v>
      </c>
      <c r="K28">
        <f t="shared" si="0"/>
        <v>5572</v>
      </c>
      <c r="L28">
        <f t="shared" si="1"/>
        <v>4290.4400000000005</v>
      </c>
      <c r="M28">
        <f t="shared" si="2"/>
        <v>45747</v>
      </c>
      <c r="N28">
        <f>_xlfn.XLOOKUP(M28,Finance_Data!A:A,Finance_Data!B:B)</f>
        <v>34147</v>
      </c>
      <c r="O28">
        <f t="shared" si="3"/>
        <v>10</v>
      </c>
      <c r="P28">
        <f t="shared" si="4"/>
        <v>3414.7</v>
      </c>
      <c r="Q28">
        <f t="shared" si="5"/>
        <v>-1083.6999999999998</v>
      </c>
      <c r="R28">
        <f t="shared" si="6"/>
        <v>23279</v>
      </c>
      <c r="S28" t="str" cm="1">
        <f t="array" ref="S28">_xlfn.IFS(R28&gt;50000,"VIP",R28&gt;=20000,"Regular",TRUE,"Low Value")</f>
        <v>Regular</v>
      </c>
      <c r="T28" t="str">
        <f>INDEX(Product_List!B:B,MATCH(E29,Product_List!A:A,0))</f>
        <v>Electronics</v>
      </c>
      <c r="U28">
        <f>_xlfn.XLOOKUP(A28,Operations_Data!A:A,Operations_Data!B:B)</f>
        <v>6</v>
      </c>
      <c r="W28">
        <f>_xlfn.XLOOKUP(A28,Operations_Data!A:A,Operations_Data!C:C)</f>
        <v>0.05</v>
      </c>
    </row>
    <row r="29" spans="1:23">
      <c r="A29" s="2" t="s">
        <v>72</v>
      </c>
      <c r="B29" s="4">
        <v>45685.123541666668</v>
      </c>
      <c r="C29" s="2" t="s">
        <v>6</v>
      </c>
      <c r="D29" s="2">
        <v>1003</v>
      </c>
      <c r="E29" s="2" t="s">
        <v>44</v>
      </c>
      <c r="F29" s="2">
        <v>6</v>
      </c>
      <c r="G29" s="2">
        <v>1011</v>
      </c>
      <c r="H29" t="str">
        <f>_xlfn.XLOOKUP(TRIM(E29),Product_List!A:A,Product_List!B:B)</f>
        <v>Electronics</v>
      </c>
      <c r="I29">
        <f>_xlfn.XLOOKUP(TRIM(E29),Product_List!A:A,Product_List!D:D)</f>
        <v>463</v>
      </c>
      <c r="J29">
        <f>_xlfn.XLOOKUP(TRIM(E29),Product_List!A:A,Product_List!E:E)</f>
        <v>0.23</v>
      </c>
      <c r="K29">
        <f t="shared" si="0"/>
        <v>6066</v>
      </c>
      <c r="L29">
        <f t="shared" si="1"/>
        <v>4670.82</v>
      </c>
      <c r="M29">
        <f t="shared" si="2"/>
        <v>45688</v>
      </c>
      <c r="N29">
        <f>_xlfn.XLOOKUP(M29,Finance_Data!A:A,Finance_Data!B:B)</f>
        <v>25640</v>
      </c>
      <c r="O29">
        <f t="shared" si="3"/>
        <v>10</v>
      </c>
      <c r="P29">
        <f t="shared" si="4"/>
        <v>2564</v>
      </c>
      <c r="Q29">
        <f t="shared" si="5"/>
        <v>724</v>
      </c>
      <c r="R29">
        <f t="shared" si="6"/>
        <v>31251</v>
      </c>
      <c r="S29" t="str" cm="1">
        <f t="array" ref="S29">_xlfn.IFS(R29&gt;50000,"VIP",R29&gt;=20000,"Regular",TRUE,"Low Value")</f>
        <v>Regular</v>
      </c>
      <c r="T29" t="str">
        <f>INDEX(Product_List!B:B,MATCH(E30,Product_List!A:A,0))</f>
        <v>Office</v>
      </c>
      <c r="U29">
        <f>_xlfn.XLOOKUP(A29,Operations_Data!A:A,Operations_Data!B:B)</f>
        <v>2</v>
      </c>
      <c r="W29">
        <f>_xlfn.XLOOKUP(A29,Operations_Data!A:A,Operations_Data!C:C)</f>
        <v>7.0000000000000007E-2</v>
      </c>
    </row>
    <row r="30" spans="1:23">
      <c r="A30" s="2" t="s">
        <v>73</v>
      </c>
      <c r="B30" s="4">
        <v>45722.085451388892</v>
      </c>
      <c r="C30" s="2" t="s">
        <v>6</v>
      </c>
      <c r="D30" s="2">
        <v>1011</v>
      </c>
      <c r="E30" s="2" t="s">
        <v>53</v>
      </c>
      <c r="F30" s="2">
        <v>2</v>
      </c>
      <c r="G30" s="2">
        <v>1660</v>
      </c>
      <c r="H30" t="str">
        <f>_xlfn.XLOOKUP(TRIM(E30),Product_List!A:A,Product_List!B:B)</f>
        <v>Office</v>
      </c>
      <c r="I30">
        <f>_xlfn.XLOOKUP(TRIM(E30),Product_List!A:A,Product_List!D:D)</f>
        <v>136</v>
      </c>
      <c r="J30">
        <f>_xlfn.XLOOKUP(TRIM(E30),Product_List!A:A,Product_List!E:E)</f>
        <v>0.1</v>
      </c>
      <c r="K30">
        <f t="shared" si="0"/>
        <v>3320</v>
      </c>
      <c r="L30">
        <f t="shared" si="1"/>
        <v>2988</v>
      </c>
      <c r="M30">
        <f t="shared" si="2"/>
        <v>45747</v>
      </c>
      <c r="N30">
        <f>_xlfn.XLOOKUP(M30,Finance_Data!A:A,Finance_Data!B:B)</f>
        <v>34147</v>
      </c>
      <c r="O30">
        <f t="shared" si="3"/>
        <v>10</v>
      </c>
      <c r="P30">
        <f t="shared" si="4"/>
        <v>3414.7</v>
      </c>
      <c r="Q30">
        <f t="shared" si="5"/>
        <v>-366.69999999999982</v>
      </c>
      <c r="R30">
        <f t="shared" si="6"/>
        <v>17906</v>
      </c>
      <c r="S30" t="str" cm="1">
        <f t="array" ref="S30">_xlfn.IFS(R30&gt;50000,"VIP",R30&gt;=20000,"Regular",TRUE,"Low Value")</f>
        <v>Low Value</v>
      </c>
      <c r="T30" t="str">
        <f>INDEX(Product_List!B:B,MATCH(E31,Product_List!A:A,0))</f>
        <v>Electronics</v>
      </c>
      <c r="U30">
        <f>_xlfn.XLOOKUP(A30,Operations_Data!A:A,Operations_Data!B:B)</f>
        <v>9</v>
      </c>
      <c r="W30">
        <f>_xlfn.XLOOKUP(A30,Operations_Data!A:A,Operations_Data!C:C)</f>
        <v>0.05</v>
      </c>
    </row>
    <row r="31" spans="1:23">
      <c r="A31" s="2" t="s">
        <v>74</v>
      </c>
      <c r="B31" s="4">
        <v>45666.62767361111</v>
      </c>
      <c r="C31" s="2" t="s">
        <v>3</v>
      </c>
      <c r="D31" s="2">
        <v>1016</v>
      </c>
      <c r="E31" s="2" t="s">
        <v>44</v>
      </c>
      <c r="F31" s="2">
        <v>5</v>
      </c>
      <c r="G31" s="2">
        <v>1119</v>
      </c>
      <c r="H31" t="str">
        <f>_xlfn.XLOOKUP(TRIM(E31),Product_List!A:A,Product_List!B:B)</f>
        <v>Electronics</v>
      </c>
      <c r="I31">
        <f>_xlfn.XLOOKUP(TRIM(E31),Product_List!A:A,Product_List!D:D)</f>
        <v>463</v>
      </c>
      <c r="J31">
        <f>_xlfn.XLOOKUP(TRIM(E31),Product_List!A:A,Product_List!E:E)</f>
        <v>0.23</v>
      </c>
      <c r="K31">
        <f t="shared" si="0"/>
        <v>5595</v>
      </c>
      <c r="L31">
        <f t="shared" si="1"/>
        <v>4308.1500000000005</v>
      </c>
      <c r="M31">
        <f t="shared" si="2"/>
        <v>45688</v>
      </c>
      <c r="N31">
        <f>_xlfn.XLOOKUP(M31,Finance_Data!A:A,Finance_Data!B:B)</f>
        <v>25640</v>
      </c>
      <c r="O31">
        <f t="shared" si="3"/>
        <v>10</v>
      </c>
      <c r="P31">
        <f t="shared" si="4"/>
        <v>2564</v>
      </c>
      <c r="Q31">
        <f t="shared" si="5"/>
        <v>716</v>
      </c>
      <c r="R31">
        <f t="shared" si="6"/>
        <v>22009</v>
      </c>
      <c r="S31" t="str" cm="1">
        <f t="array" ref="S31">_xlfn.IFS(R31&gt;50000,"VIP",R31&gt;=20000,"Regular",TRUE,"Low Value")</f>
        <v>Regular</v>
      </c>
      <c r="T31" t="str">
        <f>INDEX(Product_List!B:B,MATCH(E32,Product_List!A:A,0))</f>
        <v>Electronics</v>
      </c>
      <c r="U31">
        <f>_xlfn.XLOOKUP(A31,Operations_Data!A:A,Operations_Data!B:B)</f>
        <v>2</v>
      </c>
      <c r="W31">
        <f>_xlfn.XLOOKUP(A31,Operations_Data!A:A,Operations_Data!C:C)</f>
        <v>7.0000000000000007E-2</v>
      </c>
    </row>
    <row r="32" spans="1:23">
      <c r="A32" s="2" t="s">
        <v>75</v>
      </c>
      <c r="B32" s="4">
        <v>45770.271574074075</v>
      </c>
      <c r="C32" s="2" t="s">
        <v>4</v>
      </c>
      <c r="D32" s="2">
        <v>1016</v>
      </c>
      <c r="E32" s="2" t="s">
        <v>40</v>
      </c>
      <c r="F32" s="2">
        <v>7</v>
      </c>
      <c r="G32" s="2">
        <v>1039</v>
      </c>
      <c r="H32" t="str">
        <f>_xlfn.XLOOKUP(TRIM(E32),Product_List!A:A,Product_List!B:B)</f>
        <v>Electronics</v>
      </c>
      <c r="I32">
        <f>_xlfn.XLOOKUP(TRIM(E32),Product_List!A:A,Product_List!D:D)</f>
        <v>492</v>
      </c>
      <c r="J32">
        <f>_xlfn.XLOOKUP(TRIM(E32),Product_List!A:A,Product_List!E:E)</f>
        <v>0.14000000000000001</v>
      </c>
      <c r="K32">
        <f t="shared" si="0"/>
        <v>7273</v>
      </c>
      <c r="L32">
        <f t="shared" si="1"/>
        <v>6254.78</v>
      </c>
      <c r="M32">
        <f t="shared" si="2"/>
        <v>45777</v>
      </c>
      <c r="N32">
        <f>_xlfn.XLOOKUP(M32,Finance_Data!A:A,Finance_Data!B:B)</f>
        <v>44423</v>
      </c>
      <c r="O32">
        <f t="shared" si="3"/>
        <v>14</v>
      </c>
      <c r="P32">
        <f t="shared" si="4"/>
        <v>3173.0714285714284</v>
      </c>
      <c r="Q32">
        <f t="shared" si="5"/>
        <v>655.92857142857156</v>
      </c>
      <c r="R32">
        <f t="shared" si="6"/>
        <v>22009</v>
      </c>
      <c r="S32" t="str" cm="1">
        <f t="array" ref="S32">_xlfn.IFS(R32&gt;50000,"VIP",R32&gt;=20000,"Regular",TRUE,"Low Value")</f>
        <v>Regular</v>
      </c>
      <c r="T32" t="str">
        <f>INDEX(Product_List!B:B,MATCH(E33,Product_List!A:A,0))</f>
        <v>Electronics</v>
      </c>
      <c r="U32">
        <f>_xlfn.XLOOKUP(A32,Operations_Data!A:A,Operations_Data!B:B)</f>
        <v>6</v>
      </c>
      <c r="W32">
        <f>_xlfn.XLOOKUP(A32,Operations_Data!A:A,Operations_Data!C:C)</f>
        <v>0.05</v>
      </c>
    </row>
    <row r="33" spans="1:23">
      <c r="A33" s="2" t="s">
        <v>76</v>
      </c>
      <c r="B33" s="4">
        <v>45821.985358796293</v>
      </c>
      <c r="C33" s="2" t="s">
        <v>6</v>
      </c>
      <c r="D33" s="2">
        <v>1010</v>
      </c>
      <c r="E33" s="2" t="s">
        <v>46</v>
      </c>
      <c r="F33" s="2">
        <v>2</v>
      </c>
      <c r="G33" s="2">
        <v>809</v>
      </c>
      <c r="H33" t="str">
        <f>_xlfn.XLOOKUP(TRIM(E33),Product_List!A:A,Product_List!B:B)</f>
        <v>Electronics</v>
      </c>
      <c r="I33">
        <f>_xlfn.XLOOKUP(TRIM(E33),Product_List!A:A,Product_List!D:D)</f>
        <v>97</v>
      </c>
      <c r="J33">
        <f>_xlfn.XLOOKUP(TRIM(E33),Product_List!A:A,Product_List!E:E)</f>
        <v>0.08</v>
      </c>
      <c r="K33">
        <f t="shared" si="0"/>
        <v>1618</v>
      </c>
      <c r="L33">
        <f t="shared" si="1"/>
        <v>1488.5600000000002</v>
      </c>
      <c r="M33">
        <f t="shared" si="2"/>
        <v>45838</v>
      </c>
      <c r="N33">
        <f>_xlfn.XLOOKUP(M33,Finance_Data!A:A,Finance_Data!B:B)</f>
        <v>20079</v>
      </c>
      <c r="O33">
        <f t="shared" si="3"/>
        <v>7</v>
      </c>
      <c r="P33">
        <f t="shared" si="4"/>
        <v>2868.4285714285716</v>
      </c>
      <c r="Q33">
        <f t="shared" si="5"/>
        <v>-1444.4285714285716</v>
      </c>
      <c r="R33">
        <f t="shared" si="6"/>
        <v>23446</v>
      </c>
      <c r="S33" t="str" cm="1">
        <f t="array" ref="S33">_xlfn.IFS(R33&gt;50000,"VIP",R33&gt;=20000,"Regular",TRUE,"Low Value")</f>
        <v>Regular</v>
      </c>
      <c r="T33" t="str">
        <f>INDEX(Product_List!B:B,MATCH(E34,Product_List!A:A,0))</f>
        <v>Electronics</v>
      </c>
      <c r="U33">
        <f>_xlfn.XLOOKUP(A33,Operations_Data!A:A,Operations_Data!B:B)</f>
        <v>5</v>
      </c>
      <c r="W33">
        <f>_xlfn.XLOOKUP(A33,Operations_Data!A:A,Operations_Data!C:C)</f>
        <v>0</v>
      </c>
    </row>
    <row r="34" spans="1:23">
      <c r="A34" s="2" t="s">
        <v>77</v>
      </c>
      <c r="B34" s="4">
        <v>45774.624965277777</v>
      </c>
      <c r="C34" s="2" t="s">
        <v>6</v>
      </c>
      <c r="D34" s="2">
        <v>1014</v>
      </c>
      <c r="E34" s="2" t="s">
        <v>44</v>
      </c>
      <c r="F34" s="2">
        <v>5</v>
      </c>
      <c r="G34" s="2">
        <v>1951</v>
      </c>
      <c r="H34" t="str">
        <f>_xlfn.XLOOKUP(TRIM(E34),Product_List!A:A,Product_List!B:B)</f>
        <v>Electronics</v>
      </c>
      <c r="I34">
        <f>_xlfn.XLOOKUP(TRIM(E34),Product_List!A:A,Product_List!D:D)</f>
        <v>463</v>
      </c>
      <c r="J34">
        <f>_xlfn.XLOOKUP(TRIM(E34),Product_List!A:A,Product_List!E:E)</f>
        <v>0.23</v>
      </c>
      <c r="K34">
        <f t="shared" si="0"/>
        <v>9755</v>
      </c>
      <c r="L34">
        <f t="shared" si="1"/>
        <v>7511.35</v>
      </c>
      <c r="M34">
        <f t="shared" si="2"/>
        <v>45777</v>
      </c>
      <c r="N34">
        <f>_xlfn.XLOOKUP(M34,Finance_Data!A:A,Finance_Data!B:B)</f>
        <v>44423</v>
      </c>
      <c r="O34">
        <f t="shared" si="3"/>
        <v>14</v>
      </c>
      <c r="P34">
        <f t="shared" si="4"/>
        <v>3173.0714285714284</v>
      </c>
      <c r="Q34">
        <f t="shared" si="5"/>
        <v>4266.9285714285716</v>
      </c>
      <c r="R34">
        <f t="shared" si="6"/>
        <v>31571</v>
      </c>
      <c r="S34" t="str" cm="1">
        <f t="array" ref="S34">_xlfn.IFS(R34&gt;50000,"VIP",R34&gt;=20000,"Regular",TRUE,"Low Value")</f>
        <v>Regular</v>
      </c>
      <c r="T34" t="str">
        <f>INDEX(Product_List!B:B,MATCH(E35,Product_List!A:A,0))</f>
        <v>Electronics</v>
      </c>
      <c r="U34">
        <f>_xlfn.XLOOKUP(A34,Operations_Data!A:A,Operations_Data!B:B)</f>
        <v>3</v>
      </c>
      <c r="W34">
        <f>_xlfn.XLOOKUP(A34,Operations_Data!A:A,Operations_Data!C:C)</f>
        <v>0.04</v>
      </c>
    </row>
    <row r="35" spans="1:23">
      <c r="A35" s="2" t="s">
        <v>78</v>
      </c>
      <c r="B35" s="4">
        <v>45789.475810185184</v>
      </c>
      <c r="C35" s="2" t="s">
        <v>5</v>
      </c>
      <c r="D35" s="2">
        <v>1009</v>
      </c>
      <c r="E35" s="2" t="s">
        <v>46</v>
      </c>
      <c r="F35" s="2">
        <v>1</v>
      </c>
      <c r="G35" s="2">
        <v>1187</v>
      </c>
      <c r="H35" t="str">
        <f>_xlfn.XLOOKUP(TRIM(E35),Product_List!A:A,Product_List!B:B)</f>
        <v>Electronics</v>
      </c>
      <c r="I35">
        <f>_xlfn.XLOOKUP(TRIM(E35),Product_List!A:A,Product_List!D:D)</f>
        <v>97</v>
      </c>
      <c r="J35">
        <f>_xlfn.XLOOKUP(TRIM(E35),Product_List!A:A,Product_List!E:E)</f>
        <v>0.08</v>
      </c>
      <c r="K35">
        <f t="shared" si="0"/>
        <v>1187</v>
      </c>
      <c r="L35">
        <f t="shared" si="1"/>
        <v>1092.04</v>
      </c>
      <c r="M35">
        <f t="shared" si="2"/>
        <v>45808</v>
      </c>
      <c r="N35">
        <f>_xlfn.XLOOKUP(M35,Finance_Data!A:A,Finance_Data!B:B)</f>
        <v>32119</v>
      </c>
      <c r="O35">
        <f t="shared" si="3"/>
        <v>9</v>
      </c>
      <c r="P35">
        <f t="shared" si="4"/>
        <v>3568.7777777777778</v>
      </c>
      <c r="Q35">
        <f t="shared" si="5"/>
        <v>-2478.7777777777778</v>
      </c>
      <c r="R35">
        <f t="shared" si="6"/>
        <v>26022</v>
      </c>
      <c r="S35" t="str" cm="1">
        <f t="array" ref="S35">_xlfn.IFS(R35&gt;50000,"VIP",R35&gt;=20000,"Regular",TRUE,"Low Value")</f>
        <v>Regular</v>
      </c>
      <c r="T35" t="str">
        <f>INDEX(Product_List!B:B,MATCH(E36,Product_List!A:A,0))</f>
        <v>Accessories</v>
      </c>
      <c r="U35">
        <f>_xlfn.XLOOKUP(A35,Operations_Data!A:A,Operations_Data!B:B)</f>
        <v>9</v>
      </c>
      <c r="W35">
        <f>_xlfn.XLOOKUP(A35,Operations_Data!A:A,Operations_Data!C:C)</f>
        <v>0.05</v>
      </c>
    </row>
    <row r="36" spans="1:23">
      <c r="A36" s="2" t="s">
        <v>79</v>
      </c>
      <c r="B36" s="4">
        <v>45771.114571759259</v>
      </c>
      <c r="C36" s="2" t="s">
        <v>4</v>
      </c>
      <c r="D36" s="2">
        <v>1018</v>
      </c>
      <c r="E36" s="2" t="s">
        <v>42</v>
      </c>
      <c r="F36" s="2">
        <v>9</v>
      </c>
      <c r="G36" s="2">
        <v>1259</v>
      </c>
      <c r="H36" t="str">
        <f>_xlfn.XLOOKUP(TRIM(E36),Product_List!A:A,Product_List!B:B)</f>
        <v>Accessories</v>
      </c>
      <c r="I36">
        <f>_xlfn.XLOOKUP(TRIM(E36),Product_List!A:A,Product_List!D:D)</f>
        <v>323</v>
      </c>
      <c r="J36">
        <f>_xlfn.XLOOKUP(TRIM(E36),Product_List!A:A,Product_List!E:E)</f>
        <v>0.1</v>
      </c>
      <c r="K36">
        <f t="shared" si="0"/>
        <v>11331</v>
      </c>
      <c r="L36">
        <f t="shared" si="1"/>
        <v>10197.9</v>
      </c>
      <c r="M36">
        <f t="shared" si="2"/>
        <v>45777</v>
      </c>
      <c r="N36">
        <f>_xlfn.XLOOKUP(M36,Finance_Data!A:A,Finance_Data!B:B)</f>
        <v>44423</v>
      </c>
      <c r="O36">
        <f t="shared" si="3"/>
        <v>14</v>
      </c>
      <c r="P36">
        <f t="shared" si="4"/>
        <v>3173.0714285714284</v>
      </c>
      <c r="Q36">
        <f t="shared" si="5"/>
        <v>5250.9285714285716</v>
      </c>
      <c r="R36">
        <f t="shared" si="6"/>
        <v>31997</v>
      </c>
      <c r="S36" t="str" cm="1">
        <f t="array" ref="S36">_xlfn.IFS(R36&gt;50000,"VIP",R36&gt;=20000,"Regular",TRUE,"Low Value")</f>
        <v>Regular</v>
      </c>
      <c r="T36" t="str">
        <f>INDEX(Product_List!B:B,MATCH(E37,Product_List!A:A,0))</f>
        <v>Electronics</v>
      </c>
      <c r="U36">
        <f>_xlfn.XLOOKUP(A36,Operations_Data!A:A,Operations_Data!B:B)</f>
        <v>4</v>
      </c>
      <c r="W36">
        <f>_xlfn.XLOOKUP(A36,Operations_Data!A:A,Operations_Data!C:C)</f>
        <v>0.04</v>
      </c>
    </row>
    <row r="37" spans="1:23">
      <c r="A37" s="2" t="s">
        <v>80</v>
      </c>
      <c r="B37" s="4">
        <v>45833.931319444448</v>
      </c>
      <c r="C37" s="2" t="s">
        <v>4</v>
      </c>
      <c r="D37" s="2">
        <v>1010</v>
      </c>
      <c r="E37" s="2" t="s">
        <v>44</v>
      </c>
      <c r="F37" s="2">
        <v>6</v>
      </c>
      <c r="G37" s="2">
        <v>1460</v>
      </c>
      <c r="H37" t="str">
        <f>_xlfn.XLOOKUP(TRIM(E37),Product_List!A:A,Product_List!B:B)</f>
        <v>Electronics</v>
      </c>
      <c r="I37">
        <f>_xlfn.XLOOKUP(TRIM(E37),Product_List!A:A,Product_List!D:D)</f>
        <v>463</v>
      </c>
      <c r="J37">
        <f>_xlfn.XLOOKUP(TRIM(E37),Product_List!A:A,Product_List!E:E)</f>
        <v>0.23</v>
      </c>
      <c r="K37">
        <f t="shared" si="0"/>
        <v>8760</v>
      </c>
      <c r="L37">
        <f t="shared" si="1"/>
        <v>6745.2</v>
      </c>
      <c r="M37">
        <f t="shared" si="2"/>
        <v>45838</v>
      </c>
      <c r="N37">
        <f>_xlfn.XLOOKUP(M37,Finance_Data!A:A,Finance_Data!B:B)</f>
        <v>20079</v>
      </c>
      <c r="O37">
        <f t="shared" si="3"/>
        <v>7</v>
      </c>
      <c r="P37">
        <f t="shared" si="4"/>
        <v>2868.4285714285716</v>
      </c>
      <c r="Q37">
        <f t="shared" si="5"/>
        <v>3113.5714285714284</v>
      </c>
      <c r="R37">
        <f t="shared" si="6"/>
        <v>23446</v>
      </c>
      <c r="S37" t="str" cm="1">
        <f t="array" ref="S37">_xlfn.IFS(R37&gt;50000,"VIP",R37&gt;=20000,"Regular",TRUE,"Low Value")</f>
        <v>Regular</v>
      </c>
      <c r="T37" t="str">
        <f>INDEX(Product_List!B:B,MATCH(E38,Product_List!A:A,0))</f>
        <v>Office</v>
      </c>
      <c r="U37">
        <f>_xlfn.XLOOKUP(A37,Operations_Data!A:A,Operations_Data!B:B)</f>
        <v>6</v>
      </c>
      <c r="W37">
        <f>_xlfn.XLOOKUP(A37,Operations_Data!A:A,Operations_Data!C:C)</f>
        <v>0.04</v>
      </c>
    </row>
    <row r="38" spans="1:23">
      <c r="A38" s="2" t="s">
        <v>81</v>
      </c>
      <c r="B38" s="4">
        <v>45766.59642361111</v>
      </c>
      <c r="C38" s="2" t="s">
        <v>3</v>
      </c>
      <c r="D38" s="2">
        <v>1010</v>
      </c>
      <c r="E38" s="2" t="s">
        <v>53</v>
      </c>
      <c r="F38" s="2">
        <v>5</v>
      </c>
      <c r="G38" s="2">
        <v>1485</v>
      </c>
      <c r="H38" t="str">
        <f>_xlfn.XLOOKUP(TRIM(E38),Product_List!A:A,Product_List!B:B)</f>
        <v>Office</v>
      </c>
      <c r="I38">
        <f>_xlfn.XLOOKUP(TRIM(E38),Product_List!A:A,Product_List!D:D)</f>
        <v>136</v>
      </c>
      <c r="J38">
        <f>_xlfn.XLOOKUP(TRIM(E38),Product_List!A:A,Product_List!E:E)</f>
        <v>0.1</v>
      </c>
      <c r="K38">
        <f t="shared" si="0"/>
        <v>7425</v>
      </c>
      <c r="L38">
        <f t="shared" si="1"/>
        <v>6682.5</v>
      </c>
      <c r="M38">
        <f t="shared" si="2"/>
        <v>45777</v>
      </c>
      <c r="N38">
        <f>_xlfn.XLOOKUP(M38,Finance_Data!A:A,Finance_Data!B:B)</f>
        <v>44423</v>
      </c>
      <c r="O38">
        <f t="shared" si="3"/>
        <v>14</v>
      </c>
      <c r="P38">
        <f t="shared" si="4"/>
        <v>3173.0714285714284</v>
      </c>
      <c r="Q38">
        <f t="shared" si="5"/>
        <v>3571.9285714285716</v>
      </c>
      <c r="R38">
        <f t="shared" si="6"/>
        <v>23446</v>
      </c>
      <c r="S38" t="str" cm="1">
        <f t="array" ref="S38">_xlfn.IFS(R38&gt;50000,"VIP",R38&gt;=20000,"Regular",TRUE,"Low Value")</f>
        <v>Regular</v>
      </c>
      <c r="T38" t="str">
        <f>INDEX(Product_List!B:B,MATCH(E39,Product_List!A:A,0))</f>
        <v>Electronics</v>
      </c>
      <c r="U38">
        <f>_xlfn.XLOOKUP(A38,Operations_Data!A:A,Operations_Data!B:B)</f>
        <v>1</v>
      </c>
      <c r="W38">
        <f>_xlfn.XLOOKUP(A38,Operations_Data!A:A,Operations_Data!C:C)</f>
        <v>0.05</v>
      </c>
    </row>
    <row r="39" spans="1:23">
      <c r="A39" s="2" t="s">
        <v>82</v>
      </c>
      <c r="B39" s="4">
        <v>45770.167129629626</v>
      </c>
      <c r="C39" s="2" t="s">
        <v>3</v>
      </c>
      <c r="D39" s="2">
        <v>1015</v>
      </c>
      <c r="E39" s="2" t="s">
        <v>46</v>
      </c>
      <c r="F39" s="2">
        <v>3</v>
      </c>
      <c r="G39" s="2">
        <v>1472</v>
      </c>
      <c r="H39" t="str">
        <f>_xlfn.XLOOKUP(TRIM(E39),Product_List!A:A,Product_List!B:B)</f>
        <v>Electronics</v>
      </c>
      <c r="I39">
        <f>_xlfn.XLOOKUP(TRIM(E39),Product_List!A:A,Product_List!D:D)</f>
        <v>97</v>
      </c>
      <c r="J39">
        <f>_xlfn.XLOOKUP(TRIM(E39),Product_List!A:A,Product_List!E:E)</f>
        <v>0.08</v>
      </c>
      <c r="K39">
        <f t="shared" si="0"/>
        <v>4416</v>
      </c>
      <c r="L39">
        <f t="shared" si="1"/>
        <v>4062.7200000000003</v>
      </c>
      <c r="M39">
        <f t="shared" si="2"/>
        <v>45777</v>
      </c>
      <c r="N39">
        <f>_xlfn.XLOOKUP(M39,Finance_Data!A:A,Finance_Data!B:B)</f>
        <v>44423</v>
      </c>
      <c r="O39">
        <f t="shared" si="3"/>
        <v>14</v>
      </c>
      <c r="P39">
        <f t="shared" si="4"/>
        <v>3173.0714285714284</v>
      </c>
      <c r="Q39">
        <f t="shared" si="5"/>
        <v>951.92857142857156</v>
      </c>
      <c r="R39">
        <f t="shared" si="6"/>
        <v>10260</v>
      </c>
      <c r="S39" t="str" cm="1">
        <f t="array" ref="S39">_xlfn.IFS(R39&gt;50000,"VIP",R39&gt;=20000,"Regular",TRUE,"Low Value")</f>
        <v>Low Value</v>
      </c>
      <c r="T39" t="str">
        <f>INDEX(Product_List!B:B,MATCH(E40,Product_List!A:A,0))</f>
        <v>Electronics</v>
      </c>
      <c r="U39">
        <f>_xlfn.XLOOKUP(A39,Operations_Data!A:A,Operations_Data!B:B)</f>
        <v>4</v>
      </c>
      <c r="W39">
        <f>_xlfn.XLOOKUP(A39,Operations_Data!A:A,Operations_Data!C:C)</f>
        <v>0.04</v>
      </c>
    </row>
    <row r="40" spans="1:23">
      <c r="A40" s="2" t="s">
        <v>83</v>
      </c>
      <c r="B40" s="4">
        <v>45759.131932870368</v>
      </c>
      <c r="C40" s="2" t="s">
        <v>6</v>
      </c>
      <c r="D40" s="2">
        <v>1020</v>
      </c>
      <c r="E40" s="2" t="s">
        <v>48</v>
      </c>
      <c r="F40" s="2">
        <v>8</v>
      </c>
      <c r="G40" s="2">
        <v>1331</v>
      </c>
      <c r="H40" t="str">
        <f>_xlfn.XLOOKUP(TRIM(E40),Product_List!A:A,Product_List!B:B)</f>
        <v>Electronics</v>
      </c>
      <c r="I40">
        <f>_xlfn.XLOOKUP(TRIM(E40),Product_List!A:A,Product_List!D:D)</f>
        <v>469</v>
      </c>
      <c r="J40">
        <f>_xlfn.XLOOKUP(TRIM(E40),Product_List!A:A,Product_List!E:E)</f>
        <v>0.22</v>
      </c>
      <c r="K40">
        <f t="shared" si="0"/>
        <v>10648</v>
      </c>
      <c r="L40">
        <f t="shared" si="1"/>
        <v>8305.44</v>
      </c>
      <c r="M40">
        <f t="shared" si="2"/>
        <v>45777</v>
      </c>
      <c r="N40">
        <f>_xlfn.XLOOKUP(M40,Finance_Data!A:A,Finance_Data!B:B)</f>
        <v>44423</v>
      </c>
      <c r="O40">
        <f t="shared" si="3"/>
        <v>14</v>
      </c>
      <c r="P40">
        <f t="shared" si="4"/>
        <v>3173.0714285714284</v>
      </c>
      <c r="Q40">
        <f t="shared" si="5"/>
        <v>3722.9285714285716</v>
      </c>
      <c r="R40">
        <f t="shared" si="6"/>
        <v>21494</v>
      </c>
      <c r="S40" t="str" cm="1">
        <f t="array" ref="S40">_xlfn.IFS(R40&gt;50000,"VIP",R40&gt;=20000,"Regular",TRUE,"Low Value")</f>
        <v>Regular</v>
      </c>
      <c r="T40" t="str">
        <f>INDEX(Product_List!B:B,MATCH(E41,Product_List!A:A,0))</f>
        <v>Electronics</v>
      </c>
      <c r="U40">
        <f>_xlfn.XLOOKUP(A40,Operations_Data!A:A,Operations_Data!B:B)</f>
        <v>7</v>
      </c>
      <c r="W40">
        <f>_xlfn.XLOOKUP(A40,Operations_Data!A:A,Operations_Data!C:C)</f>
        <v>0.01</v>
      </c>
    </row>
    <row r="41" spans="1:23">
      <c r="A41" s="2" t="s">
        <v>84</v>
      </c>
      <c r="B41" s="4">
        <v>45760.760393518518</v>
      </c>
      <c r="C41" s="2" t="s">
        <v>6</v>
      </c>
      <c r="D41" s="2">
        <v>1001</v>
      </c>
      <c r="E41" s="2" t="s">
        <v>46</v>
      </c>
      <c r="F41" s="2">
        <v>2</v>
      </c>
      <c r="G41" s="2">
        <v>222</v>
      </c>
      <c r="H41" t="str">
        <f>_xlfn.XLOOKUP(TRIM(E41),Product_List!A:A,Product_List!B:B)</f>
        <v>Electronics</v>
      </c>
      <c r="I41">
        <f>_xlfn.XLOOKUP(TRIM(E41),Product_List!A:A,Product_List!D:D)</f>
        <v>97</v>
      </c>
      <c r="J41">
        <f>_xlfn.XLOOKUP(TRIM(E41),Product_List!A:A,Product_List!E:E)</f>
        <v>0.08</v>
      </c>
      <c r="K41">
        <f t="shared" si="0"/>
        <v>444</v>
      </c>
      <c r="L41">
        <f t="shared" si="1"/>
        <v>408.48</v>
      </c>
      <c r="M41">
        <f t="shared" si="2"/>
        <v>45777</v>
      </c>
      <c r="N41">
        <f>_xlfn.XLOOKUP(M41,Finance_Data!A:A,Finance_Data!B:B)</f>
        <v>44423</v>
      </c>
      <c r="O41">
        <f t="shared" si="3"/>
        <v>14</v>
      </c>
      <c r="P41">
        <f t="shared" si="4"/>
        <v>3173.0714285714284</v>
      </c>
      <c r="Q41">
        <f t="shared" si="5"/>
        <v>-2923.0714285714284</v>
      </c>
      <c r="R41">
        <f t="shared" si="6"/>
        <v>23279</v>
      </c>
      <c r="S41" t="str" cm="1">
        <f t="array" ref="S41">_xlfn.IFS(R41&gt;50000,"VIP",R41&gt;=20000,"Regular",TRUE,"Low Value")</f>
        <v>Regular</v>
      </c>
      <c r="T41" t="str">
        <f>INDEX(Product_List!B:B,MATCH(E42,Product_List!A:A,0))</f>
        <v>Accessories</v>
      </c>
      <c r="U41">
        <f>_xlfn.XLOOKUP(A41,Operations_Data!A:A,Operations_Data!B:B)</f>
        <v>4</v>
      </c>
      <c r="W41">
        <f>_xlfn.XLOOKUP(A41,Operations_Data!A:A,Operations_Data!C:C)</f>
        <v>0.03</v>
      </c>
    </row>
    <row r="42" spans="1:23">
      <c r="A42" s="2" t="s">
        <v>85</v>
      </c>
      <c r="B42" s="4">
        <v>45754.452418981484</v>
      </c>
      <c r="C42" s="2" t="s">
        <v>5</v>
      </c>
      <c r="D42" s="2">
        <v>1012</v>
      </c>
      <c r="E42" s="2" t="s">
        <v>42</v>
      </c>
      <c r="F42" s="2">
        <v>3</v>
      </c>
      <c r="G42" s="2">
        <v>1781</v>
      </c>
      <c r="H42" t="str">
        <f>_xlfn.XLOOKUP(TRIM(E42),Product_List!A:A,Product_List!B:B)</f>
        <v>Accessories</v>
      </c>
      <c r="I42">
        <f>_xlfn.XLOOKUP(TRIM(E42),Product_List!A:A,Product_List!D:D)</f>
        <v>323</v>
      </c>
      <c r="J42">
        <f>_xlfn.XLOOKUP(TRIM(E42),Product_List!A:A,Product_List!E:E)</f>
        <v>0.1</v>
      </c>
      <c r="K42">
        <f t="shared" si="0"/>
        <v>5343</v>
      </c>
      <c r="L42">
        <f t="shared" si="1"/>
        <v>4808.7</v>
      </c>
      <c r="M42">
        <f t="shared" si="2"/>
        <v>45777</v>
      </c>
      <c r="N42">
        <f>_xlfn.XLOOKUP(M42,Finance_Data!A:A,Finance_Data!B:B)</f>
        <v>44423</v>
      </c>
      <c r="O42">
        <f t="shared" si="3"/>
        <v>14</v>
      </c>
      <c r="P42">
        <f t="shared" si="4"/>
        <v>3173.0714285714284</v>
      </c>
      <c r="Q42">
        <f t="shared" si="5"/>
        <v>1200.9285714285716</v>
      </c>
      <c r="R42">
        <f t="shared" si="6"/>
        <v>8379</v>
      </c>
      <c r="S42" t="str" cm="1">
        <f t="array" ref="S42">_xlfn.IFS(R42&gt;50000,"VIP",R42&gt;=20000,"Regular",TRUE,"Low Value")</f>
        <v>Low Value</v>
      </c>
      <c r="T42" t="str">
        <f>INDEX(Product_List!B:B,MATCH(E43,Product_List!A:A,0))</f>
        <v>Accessories</v>
      </c>
      <c r="U42">
        <f>_xlfn.XLOOKUP(A42,Operations_Data!A:A,Operations_Data!B:B)</f>
        <v>5</v>
      </c>
      <c r="W42">
        <f>_xlfn.XLOOKUP(A42,Operations_Data!A:A,Operations_Data!C:C)</f>
        <v>0.09</v>
      </c>
    </row>
    <row r="43" spans="1:23">
      <c r="A43" s="2" t="s">
        <v>86</v>
      </c>
      <c r="B43" s="4">
        <v>45823.740358796298</v>
      </c>
      <c r="C43" s="2" t="s">
        <v>6</v>
      </c>
      <c r="D43" s="2">
        <v>1001</v>
      </c>
      <c r="E43" s="2" t="s">
        <v>42</v>
      </c>
      <c r="F43" s="2">
        <v>2</v>
      </c>
      <c r="G43" s="2">
        <v>1545</v>
      </c>
      <c r="H43" t="str">
        <f>_xlfn.XLOOKUP(TRIM(E43),Product_List!A:A,Product_List!B:B)</f>
        <v>Accessories</v>
      </c>
      <c r="I43">
        <f>_xlfn.XLOOKUP(TRIM(E43),Product_List!A:A,Product_List!D:D)</f>
        <v>323</v>
      </c>
      <c r="J43">
        <f>_xlfn.XLOOKUP(TRIM(E43),Product_List!A:A,Product_List!E:E)</f>
        <v>0.1</v>
      </c>
      <c r="K43">
        <f t="shared" si="0"/>
        <v>3090</v>
      </c>
      <c r="L43">
        <f t="shared" si="1"/>
        <v>2781</v>
      </c>
      <c r="M43">
        <f t="shared" si="2"/>
        <v>45838</v>
      </c>
      <c r="N43">
        <f>_xlfn.XLOOKUP(M43,Finance_Data!A:A,Finance_Data!B:B)</f>
        <v>20079</v>
      </c>
      <c r="O43">
        <f t="shared" si="3"/>
        <v>7</v>
      </c>
      <c r="P43">
        <f t="shared" si="4"/>
        <v>2868.4285714285716</v>
      </c>
      <c r="Q43">
        <f t="shared" si="5"/>
        <v>-424.42857142857156</v>
      </c>
      <c r="R43">
        <f t="shared" si="6"/>
        <v>23279</v>
      </c>
      <c r="S43" t="str" cm="1">
        <f t="array" ref="S43">_xlfn.IFS(R43&gt;50000,"VIP",R43&gt;=20000,"Regular",TRUE,"Low Value")</f>
        <v>Regular</v>
      </c>
      <c r="T43" t="str">
        <f>INDEX(Product_List!B:B,MATCH(E44,Product_List!A:A,0))</f>
        <v>Electronics</v>
      </c>
      <c r="U43">
        <f>_xlfn.XLOOKUP(A43,Operations_Data!A:A,Operations_Data!B:B)</f>
        <v>8</v>
      </c>
      <c r="W43">
        <f>_xlfn.XLOOKUP(A43,Operations_Data!A:A,Operations_Data!C:C)</f>
        <v>0</v>
      </c>
    </row>
    <row r="44" spans="1:23">
      <c r="A44" s="2" t="s">
        <v>87</v>
      </c>
      <c r="B44" s="4">
        <v>45827.390497685185</v>
      </c>
      <c r="C44" s="2" t="s">
        <v>3</v>
      </c>
      <c r="D44" s="2">
        <v>1019</v>
      </c>
      <c r="E44" s="2" t="s">
        <v>48</v>
      </c>
      <c r="F44" s="2">
        <v>1</v>
      </c>
      <c r="G44" s="2">
        <v>1437</v>
      </c>
      <c r="H44" t="str">
        <f>_xlfn.XLOOKUP(TRIM(E44),Product_List!A:A,Product_List!B:B)</f>
        <v>Electronics</v>
      </c>
      <c r="I44">
        <f>_xlfn.XLOOKUP(TRIM(E44),Product_List!A:A,Product_List!D:D)</f>
        <v>469</v>
      </c>
      <c r="J44">
        <f>_xlfn.XLOOKUP(TRIM(E44),Product_List!A:A,Product_List!E:E)</f>
        <v>0.22</v>
      </c>
      <c r="K44">
        <f t="shared" si="0"/>
        <v>1437</v>
      </c>
      <c r="L44">
        <f t="shared" si="1"/>
        <v>1120.8600000000001</v>
      </c>
      <c r="M44">
        <f t="shared" si="2"/>
        <v>45838</v>
      </c>
      <c r="N44">
        <f>_xlfn.XLOOKUP(M44,Finance_Data!A:A,Finance_Data!B:B)</f>
        <v>20079</v>
      </c>
      <c r="O44">
        <f t="shared" si="3"/>
        <v>7</v>
      </c>
      <c r="P44">
        <f t="shared" si="4"/>
        <v>2868.4285714285716</v>
      </c>
      <c r="Q44">
        <f t="shared" si="5"/>
        <v>-1900.4285714285716</v>
      </c>
      <c r="R44">
        <f t="shared" si="6"/>
        <v>20633</v>
      </c>
      <c r="S44" t="str" cm="1">
        <f t="array" ref="S44">_xlfn.IFS(R44&gt;50000,"VIP",R44&gt;=20000,"Regular",TRUE,"Low Value")</f>
        <v>Regular</v>
      </c>
      <c r="T44" t="str">
        <f>INDEX(Product_List!B:B,MATCH(E45,Product_List!A:A,0))</f>
        <v>Electronics</v>
      </c>
      <c r="U44">
        <f>_xlfn.XLOOKUP(A44,Operations_Data!A:A,Operations_Data!B:B)</f>
        <v>7</v>
      </c>
      <c r="W44">
        <f>_xlfn.XLOOKUP(A44,Operations_Data!A:A,Operations_Data!C:C)</f>
        <v>0</v>
      </c>
    </row>
    <row r="45" spans="1:23">
      <c r="A45" s="2" t="s">
        <v>88</v>
      </c>
      <c r="B45" s="4">
        <v>45754.479502314818</v>
      </c>
      <c r="C45" s="2" t="s">
        <v>4</v>
      </c>
      <c r="D45" s="2">
        <v>1009</v>
      </c>
      <c r="E45" s="2" t="s">
        <v>48</v>
      </c>
      <c r="F45" s="2">
        <v>8</v>
      </c>
      <c r="G45" s="2">
        <v>1539</v>
      </c>
      <c r="H45" t="str">
        <f>_xlfn.XLOOKUP(TRIM(E45),Product_List!A:A,Product_List!B:B)</f>
        <v>Electronics</v>
      </c>
      <c r="I45">
        <f>_xlfn.XLOOKUP(TRIM(E45),Product_List!A:A,Product_List!D:D)</f>
        <v>469</v>
      </c>
      <c r="J45">
        <f>_xlfn.XLOOKUP(TRIM(E45),Product_List!A:A,Product_List!E:E)</f>
        <v>0.22</v>
      </c>
      <c r="K45">
        <f t="shared" si="0"/>
        <v>12312</v>
      </c>
      <c r="L45">
        <f t="shared" si="1"/>
        <v>9603.36</v>
      </c>
      <c r="M45">
        <f t="shared" si="2"/>
        <v>45777</v>
      </c>
      <c r="N45">
        <f>_xlfn.XLOOKUP(M45,Finance_Data!A:A,Finance_Data!B:B)</f>
        <v>44423</v>
      </c>
      <c r="O45">
        <f t="shared" si="3"/>
        <v>14</v>
      </c>
      <c r="P45">
        <f t="shared" si="4"/>
        <v>3173.0714285714284</v>
      </c>
      <c r="Q45">
        <f t="shared" si="5"/>
        <v>5386.9285714285716</v>
      </c>
      <c r="R45">
        <f t="shared" si="6"/>
        <v>26022</v>
      </c>
      <c r="S45" t="str" cm="1">
        <f t="array" ref="S45">_xlfn.IFS(R45&gt;50000,"VIP",R45&gt;=20000,"Regular",TRUE,"Low Value")</f>
        <v>Regular</v>
      </c>
      <c r="T45" t="str">
        <f>INDEX(Product_List!B:B,MATCH(E46,Product_List!A:A,0))</f>
        <v>Office</v>
      </c>
      <c r="U45">
        <f>_xlfn.XLOOKUP(A45,Operations_Data!A:A,Operations_Data!B:B)</f>
        <v>4</v>
      </c>
      <c r="W45">
        <f>_xlfn.XLOOKUP(A45,Operations_Data!A:A,Operations_Data!C:C)</f>
        <v>0.03</v>
      </c>
    </row>
    <row r="46" spans="1:23">
      <c r="A46" s="2" t="s">
        <v>89</v>
      </c>
      <c r="B46" s="4">
        <v>45788.261284722219</v>
      </c>
      <c r="C46" s="2" t="s">
        <v>4</v>
      </c>
      <c r="D46" s="2">
        <v>1013</v>
      </c>
      <c r="E46" s="2" t="s">
        <v>53</v>
      </c>
      <c r="F46" s="2">
        <v>2</v>
      </c>
      <c r="G46" s="2">
        <v>1414</v>
      </c>
      <c r="H46" t="str">
        <f>_xlfn.XLOOKUP(TRIM(E46),Product_List!A:A,Product_List!B:B)</f>
        <v>Office</v>
      </c>
      <c r="I46">
        <f>_xlfn.XLOOKUP(TRIM(E46),Product_List!A:A,Product_List!D:D)</f>
        <v>136</v>
      </c>
      <c r="J46">
        <f>_xlfn.XLOOKUP(TRIM(E46),Product_List!A:A,Product_List!E:E)</f>
        <v>0.1</v>
      </c>
      <c r="K46">
        <f t="shared" si="0"/>
        <v>2828</v>
      </c>
      <c r="L46">
        <f t="shared" si="1"/>
        <v>2545.2000000000003</v>
      </c>
      <c r="M46">
        <f t="shared" si="2"/>
        <v>45808</v>
      </c>
      <c r="N46">
        <f>_xlfn.XLOOKUP(M46,Finance_Data!A:A,Finance_Data!B:B)</f>
        <v>32119</v>
      </c>
      <c r="O46">
        <f t="shared" si="3"/>
        <v>9</v>
      </c>
      <c r="P46">
        <f t="shared" si="4"/>
        <v>3568.7777777777778</v>
      </c>
      <c r="Q46">
        <f t="shared" si="5"/>
        <v>-1012.7777777777778</v>
      </c>
      <c r="R46">
        <f t="shared" si="6"/>
        <v>17364</v>
      </c>
      <c r="S46" t="str" cm="1">
        <f t="array" ref="S46">_xlfn.IFS(R46&gt;50000,"VIP",R46&gt;=20000,"Regular",TRUE,"Low Value")</f>
        <v>Low Value</v>
      </c>
      <c r="T46" t="str">
        <f>INDEX(Product_List!B:B,MATCH(E47,Product_List!A:A,0))</f>
        <v>Accessories</v>
      </c>
      <c r="U46">
        <f>_xlfn.XLOOKUP(A46,Operations_Data!A:A,Operations_Data!B:B)</f>
        <v>1</v>
      </c>
      <c r="W46">
        <f>_xlfn.XLOOKUP(A46,Operations_Data!A:A,Operations_Data!C:C)</f>
        <v>0.06</v>
      </c>
    </row>
    <row r="47" spans="1:23">
      <c r="A47" s="2" t="s">
        <v>90</v>
      </c>
      <c r="B47" s="4">
        <v>45789.088136574072</v>
      </c>
      <c r="C47" s="2" t="s">
        <v>3</v>
      </c>
      <c r="D47" s="2">
        <v>1011</v>
      </c>
      <c r="E47" s="2" t="s">
        <v>42</v>
      </c>
      <c r="F47" s="2">
        <v>9</v>
      </c>
      <c r="G47" s="2">
        <v>1076</v>
      </c>
      <c r="H47" t="str">
        <f>_xlfn.XLOOKUP(TRIM(E47),Product_List!A:A,Product_List!B:B)</f>
        <v>Accessories</v>
      </c>
      <c r="I47">
        <f>_xlfn.XLOOKUP(TRIM(E47),Product_List!A:A,Product_List!D:D)</f>
        <v>323</v>
      </c>
      <c r="J47">
        <f>_xlfn.XLOOKUP(TRIM(E47),Product_List!A:A,Product_List!E:E)</f>
        <v>0.1</v>
      </c>
      <c r="K47">
        <f t="shared" si="0"/>
        <v>9684</v>
      </c>
      <c r="L47">
        <f t="shared" si="1"/>
        <v>8715.6</v>
      </c>
      <c r="M47">
        <f t="shared" si="2"/>
        <v>45808</v>
      </c>
      <c r="N47">
        <f>_xlfn.XLOOKUP(M47,Finance_Data!A:A,Finance_Data!B:B)</f>
        <v>32119</v>
      </c>
      <c r="O47">
        <f t="shared" si="3"/>
        <v>9</v>
      </c>
      <c r="P47">
        <f t="shared" si="4"/>
        <v>3568.7777777777778</v>
      </c>
      <c r="Q47">
        <f t="shared" si="5"/>
        <v>3208.2222222222222</v>
      </c>
      <c r="R47">
        <f t="shared" si="6"/>
        <v>17906</v>
      </c>
      <c r="S47" t="str" cm="1">
        <f t="array" ref="S47">_xlfn.IFS(R47&gt;50000,"VIP",R47&gt;=20000,"Regular",TRUE,"Low Value")</f>
        <v>Low Value</v>
      </c>
      <c r="T47" t="str">
        <f>INDEX(Product_List!B:B,MATCH(E48,Product_List!A:A,0))</f>
        <v>Office</v>
      </c>
      <c r="U47">
        <f>_xlfn.XLOOKUP(A47,Operations_Data!A:A,Operations_Data!B:B)</f>
        <v>5</v>
      </c>
      <c r="W47">
        <f>_xlfn.XLOOKUP(A47,Operations_Data!A:A,Operations_Data!C:C)</f>
        <v>0.1</v>
      </c>
    </row>
    <row r="48" spans="1:23">
      <c r="A48" s="2" t="s">
        <v>91</v>
      </c>
      <c r="B48" s="4">
        <v>45787.813692129632</v>
      </c>
      <c r="C48" s="2" t="s">
        <v>4</v>
      </c>
      <c r="D48" s="2">
        <v>1009</v>
      </c>
      <c r="E48" s="2" t="s">
        <v>53</v>
      </c>
      <c r="F48" s="2">
        <v>1</v>
      </c>
      <c r="G48" s="2">
        <v>398</v>
      </c>
      <c r="H48" t="str">
        <f>_xlfn.XLOOKUP(TRIM(E48),Product_List!A:A,Product_List!B:B)</f>
        <v>Office</v>
      </c>
      <c r="I48">
        <f>_xlfn.XLOOKUP(TRIM(E48),Product_List!A:A,Product_List!D:D)</f>
        <v>136</v>
      </c>
      <c r="J48">
        <f>_xlfn.XLOOKUP(TRIM(E48),Product_List!A:A,Product_List!E:E)</f>
        <v>0.1</v>
      </c>
      <c r="K48">
        <f t="shared" si="0"/>
        <v>398</v>
      </c>
      <c r="L48">
        <f t="shared" si="1"/>
        <v>358.2</v>
      </c>
      <c r="M48">
        <f t="shared" si="2"/>
        <v>45808</v>
      </c>
      <c r="N48">
        <f>_xlfn.XLOOKUP(M48,Finance_Data!A:A,Finance_Data!B:B)</f>
        <v>32119</v>
      </c>
      <c r="O48">
        <f t="shared" si="3"/>
        <v>9</v>
      </c>
      <c r="P48">
        <f t="shared" si="4"/>
        <v>3568.7777777777778</v>
      </c>
      <c r="Q48">
        <f t="shared" si="5"/>
        <v>-3306.7777777777778</v>
      </c>
      <c r="R48">
        <f t="shared" si="6"/>
        <v>26022</v>
      </c>
      <c r="S48" t="str" cm="1">
        <f t="array" ref="S48">_xlfn.IFS(R48&gt;50000,"VIP",R48&gt;=20000,"Regular",TRUE,"Low Value")</f>
        <v>Regular</v>
      </c>
      <c r="T48" t="str">
        <f>INDEX(Product_List!B:B,MATCH(E49,Product_List!A:A,0))</f>
        <v>Accessories</v>
      </c>
      <c r="U48">
        <f>_xlfn.XLOOKUP(A48,Operations_Data!A:A,Operations_Data!B:B)</f>
        <v>5</v>
      </c>
      <c r="W48">
        <f>_xlfn.XLOOKUP(A48,Operations_Data!A:A,Operations_Data!C:C)</f>
        <v>0.1</v>
      </c>
    </row>
    <row r="49" spans="1:23">
      <c r="A49" s="2" t="s">
        <v>92</v>
      </c>
      <c r="B49" s="4">
        <v>45807.765486111108</v>
      </c>
      <c r="C49" s="2" t="s">
        <v>3</v>
      </c>
      <c r="D49" s="2">
        <v>1003</v>
      </c>
      <c r="E49" s="2" t="s">
        <v>42</v>
      </c>
      <c r="F49" s="2">
        <v>8</v>
      </c>
      <c r="G49" s="2">
        <v>1684</v>
      </c>
      <c r="H49" t="str">
        <f>_xlfn.XLOOKUP(TRIM(E49),Product_List!A:A,Product_List!B:B)</f>
        <v>Accessories</v>
      </c>
      <c r="I49">
        <f>_xlfn.XLOOKUP(TRIM(E49),Product_List!A:A,Product_List!D:D)</f>
        <v>323</v>
      </c>
      <c r="J49">
        <f>_xlfn.XLOOKUP(TRIM(E49),Product_List!A:A,Product_List!E:E)</f>
        <v>0.1</v>
      </c>
      <c r="K49">
        <f t="shared" si="0"/>
        <v>13472</v>
      </c>
      <c r="L49">
        <f t="shared" si="1"/>
        <v>12124.800000000001</v>
      </c>
      <c r="M49">
        <f t="shared" si="2"/>
        <v>45808</v>
      </c>
      <c r="N49">
        <f>_xlfn.XLOOKUP(M49,Finance_Data!A:A,Finance_Data!B:B)</f>
        <v>32119</v>
      </c>
      <c r="O49">
        <f t="shared" si="3"/>
        <v>9</v>
      </c>
      <c r="P49">
        <f t="shared" si="4"/>
        <v>3568.7777777777778</v>
      </c>
      <c r="Q49">
        <f t="shared" si="5"/>
        <v>7319.2222222222226</v>
      </c>
      <c r="R49">
        <f t="shared" si="6"/>
        <v>31251</v>
      </c>
      <c r="S49" t="str" cm="1">
        <f t="array" ref="S49">_xlfn.IFS(R49&gt;50000,"VIP",R49&gt;=20000,"Regular",TRUE,"Low Value")</f>
        <v>Regular</v>
      </c>
      <c r="T49" t="str">
        <f>INDEX(Product_List!B:B,MATCH(E50,Product_List!A:A,0))</f>
        <v>Office</v>
      </c>
      <c r="U49">
        <f>_xlfn.XLOOKUP(A49,Operations_Data!A:A,Operations_Data!B:B)</f>
        <v>6</v>
      </c>
      <c r="W49">
        <f>_xlfn.XLOOKUP(A49,Operations_Data!A:A,Operations_Data!C:C)</f>
        <v>0.1</v>
      </c>
    </row>
    <row r="50" spans="1:23">
      <c r="A50" s="2" t="s">
        <v>93</v>
      </c>
      <c r="B50" s="4">
        <v>45749.992546296293</v>
      </c>
      <c r="C50" s="2" t="s">
        <v>4</v>
      </c>
      <c r="D50" s="2">
        <v>1010</v>
      </c>
      <c r="E50" s="2" t="s">
        <v>53</v>
      </c>
      <c r="F50" s="2">
        <v>1</v>
      </c>
      <c r="G50" s="2">
        <v>648</v>
      </c>
      <c r="H50" t="str">
        <f>_xlfn.XLOOKUP(TRIM(E50),Product_List!A:A,Product_List!B:B)</f>
        <v>Office</v>
      </c>
      <c r="I50">
        <f>_xlfn.XLOOKUP(TRIM(E50),Product_List!A:A,Product_List!D:D)</f>
        <v>136</v>
      </c>
      <c r="J50">
        <f>_xlfn.XLOOKUP(TRIM(E50),Product_List!A:A,Product_List!E:E)</f>
        <v>0.1</v>
      </c>
      <c r="K50">
        <f t="shared" si="0"/>
        <v>648</v>
      </c>
      <c r="L50">
        <f t="shared" si="1"/>
        <v>583.20000000000005</v>
      </c>
      <c r="M50">
        <f t="shared" si="2"/>
        <v>45777</v>
      </c>
      <c r="N50">
        <f>_xlfn.XLOOKUP(M50,Finance_Data!A:A,Finance_Data!B:B)</f>
        <v>44423</v>
      </c>
      <c r="O50">
        <f t="shared" si="3"/>
        <v>14</v>
      </c>
      <c r="P50">
        <f t="shared" si="4"/>
        <v>3173.0714285714284</v>
      </c>
      <c r="Q50">
        <f t="shared" si="5"/>
        <v>-2661.0714285714284</v>
      </c>
      <c r="R50">
        <f t="shared" si="6"/>
        <v>23446</v>
      </c>
      <c r="S50" t="str" cm="1">
        <f t="array" ref="S50">_xlfn.IFS(R50&gt;50000,"VIP",R50&gt;=20000,"Regular",TRUE,"Low Value")</f>
        <v>Regular</v>
      </c>
      <c r="T50" t="str">
        <f>INDEX(Product_List!B:B,MATCH(E51,Product_List!A:A,0))</f>
        <v>Electronics</v>
      </c>
      <c r="U50">
        <f>_xlfn.XLOOKUP(A50,Operations_Data!A:A,Operations_Data!B:B)</f>
        <v>8</v>
      </c>
      <c r="W50">
        <f>_xlfn.XLOOKUP(A50,Operations_Data!A:A,Operations_Data!C:C)</f>
        <v>0.01</v>
      </c>
    </row>
    <row r="51" spans="1:23">
      <c r="A51" s="2" t="s">
        <v>94</v>
      </c>
      <c r="B51" s="4">
        <v>45816.867118055554</v>
      </c>
      <c r="C51" s="2" t="s">
        <v>3</v>
      </c>
      <c r="D51" s="2">
        <v>1006</v>
      </c>
      <c r="E51" s="2" t="s">
        <v>48</v>
      </c>
      <c r="F51" s="2">
        <v>6</v>
      </c>
      <c r="G51" s="2">
        <v>634</v>
      </c>
      <c r="H51" t="str">
        <f>_xlfn.XLOOKUP(TRIM(E51),Product_List!A:A,Product_List!B:B)</f>
        <v>Electronics</v>
      </c>
      <c r="I51">
        <f>_xlfn.XLOOKUP(TRIM(E51),Product_List!A:A,Product_List!D:D)</f>
        <v>469</v>
      </c>
      <c r="J51">
        <f>_xlfn.XLOOKUP(TRIM(E51),Product_List!A:A,Product_List!E:E)</f>
        <v>0.22</v>
      </c>
      <c r="K51">
        <f t="shared" si="0"/>
        <v>3804</v>
      </c>
      <c r="L51">
        <f t="shared" si="1"/>
        <v>2967.12</v>
      </c>
      <c r="M51">
        <f t="shared" si="2"/>
        <v>45838</v>
      </c>
      <c r="N51">
        <f>_xlfn.XLOOKUP(M51,Finance_Data!A:A,Finance_Data!B:B)</f>
        <v>20079</v>
      </c>
      <c r="O51">
        <f t="shared" si="3"/>
        <v>7</v>
      </c>
      <c r="P51">
        <f t="shared" si="4"/>
        <v>2868.4285714285716</v>
      </c>
      <c r="Q51">
        <f t="shared" si="5"/>
        <v>-1878.4285714285716</v>
      </c>
      <c r="R51">
        <f t="shared" si="6"/>
        <v>34295</v>
      </c>
      <c r="S51" t="str" cm="1">
        <f t="array" ref="S51">_xlfn.IFS(R51&gt;50000,"VIP",R51&gt;=20000,"Regular",TRUE,"Low Value")</f>
        <v>Regular</v>
      </c>
      <c r="T51" t="str">
        <f>INDEX(Product_List!B:B,MATCH(E52,Product_List!A:A,0))</f>
        <v>Electronics</v>
      </c>
      <c r="U51">
        <f>_xlfn.XLOOKUP(A51,Operations_Data!A:A,Operations_Data!B:B)</f>
        <v>7</v>
      </c>
      <c r="W51">
        <f>_xlfn.XLOOKUP(A51,Operations_Data!A:A,Operations_Data!C:C)</f>
        <v>7.0000000000000007E-2</v>
      </c>
    </row>
    <row r="52" spans="1:23">
      <c r="A52" s="2" t="s">
        <v>95</v>
      </c>
      <c r="B52" s="4">
        <v>45835.860034722224</v>
      </c>
      <c r="C52" s="2" t="s">
        <v>6</v>
      </c>
      <c r="D52" s="2">
        <v>1007</v>
      </c>
      <c r="E52" s="2" t="s">
        <v>48</v>
      </c>
      <c r="F52" s="2">
        <v>3</v>
      </c>
      <c r="G52" s="2">
        <v>119</v>
      </c>
      <c r="H52" t="str">
        <f>_xlfn.XLOOKUP(TRIM(E52),Product_List!A:A,Product_List!B:B)</f>
        <v>Electronics</v>
      </c>
      <c r="I52">
        <f>_xlfn.XLOOKUP(TRIM(E52),Product_List!A:A,Product_List!D:D)</f>
        <v>469</v>
      </c>
      <c r="J52">
        <f>_xlfn.XLOOKUP(TRIM(E52),Product_List!A:A,Product_List!E:E)</f>
        <v>0.22</v>
      </c>
      <c r="K52">
        <f t="shared" si="0"/>
        <v>357</v>
      </c>
      <c r="L52">
        <f t="shared" si="1"/>
        <v>278.46000000000004</v>
      </c>
      <c r="M52">
        <f t="shared" si="2"/>
        <v>45838</v>
      </c>
      <c r="N52">
        <f>_xlfn.XLOOKUP(M52,Finance_Data!A:A,Finance_Data!B:B)</f>
        <v>20079</v>
      </c>
      <c r="O52">
        <f t="shared" si="3"/>
        <v>7</v>
      </c>
      <c r="P52">
        <f t="shared" si="4"/>
        <v>2868.4285714285716</v>
      </c>
      <c r="Q52">
        <f t="shared" si="5"/>
        <v>-3918.4285714285716</v>
      </c>
      <c r="R52">
        <f t="shared" si="6"/>
        <v>29517</v>
      </c>
      <c r="S52" t="str" cm="1">
        <f t="array" ref="S52">_xlfn.IFS(R52&gt;50000,"VIP",R52&gt;=20000,"Regular",TRUE,"Low Value")</f>
        <v>Regular</v>
      </c>
      <c r="T52" t="str">
        <f>INDEX(Product_List!B:B,MATCH(E53,Product_List!A:A,0))</f>
        <v>Electronics</v>
      </c>
      <c r="U52">
        <f>_xlfn.XLOOKUP(A52,Operations_Data!A:A,Operations_Data!B:B)</f>
        <v>7</v>
      </c>
      <c r="W52">
        <f>_xlfn.XLOOKUP(A52,Operations_Data!A:A,Operations_Data!C:C)</f>
        <v>0.05</v>
      </c>
    </row>
    <row r="53" spans="1:23">
      <c r="A53" s="2" t="s">
        <v>96</v>
      </c>
      <c r="B53" s="4">
        <v>45773.565625000003</v>
      </c>
      <c r="C53" s="2" t="s">
        <v>6</v>
      </c>
      <c r="D53" s="2">
        <v>1007</v>
      </c>
      <c r="E53" s="2" t="s">
        <v>46</v>
      </c>
      <c r="F53" s="2">
        <v>6</v>
      </c>
      <c r="G53" s="2">
        <v>1219</v>
      </c>
      <c r="H53" t="str">
        <f>_xlfn.XLOOKUP(TRIM(E53),Product_List!A:A,Product_List!B:B)</f>
        <v>Electronics</v>
      </c>
      <c r="I53">
        <f>_xlfn.XLOOKUP(TRIM(E53),Product_List!A:A,Product_List!D:D)</f>
        <v>97</v>
      </c>
      <c r="J53">
        <f>_xlfn.XLOOKUP(TRIM(E53),Product_List!A:A,Product_List!E:E)</f>
        <v>0.08</v>
      </c>
      <c r="K53">
        <f t="shared" si="0"/>
        <v>7314</v>
      </c>
      <c r="L53">
        <f t="shared" si="1"/>
        <v>6728.88</v>
      </c>
      <c r="M53">
        <f t="shared" si="2"/>
        <v>45777</v>
      </c>
      <c r="N53">
        <f>_xlfn.XLOOKUP(M53,Finance_Data!A:A,Finance_Data!B:B)</f>
        <v>44423</v>
      </c>
      <c r="O53">
        <f t="shared" si="3"/>
        <v>14</v>
      </c>
      <c r="P53">
        <f t="shared" si="4"/>
        <v>3173.0714285714284</v>
      </c>
      <c r="Q53">
        <f t="shared" si="5"/>
        <v>3558.9285714285716</v>
      </c>
      <c r="R53">
        <f t="shared" si="6"/>
        <v>29517</v>
      </c>
      <c r="S53" t="str" cm="1">
        <f t="array" ref="S53">_xlfn.IFS(R53&gt;50000,"VIP",R53&gt;=20000,"Regular",TRUE,"Low Value")</f>
        <v>Regular</v>
      </c>
      <c r="T53" t="str">
        <f>INDEX(Product_List!B:B,MATCH(E54,Product_List!A:A,0))</f>
        <v>Office</v>
      </c>
      <c r="U53">
        <f>_xlfn.XLOOKUP(A53,Operations_Data!A:A,Operations_Data!B:B)</f>
        <v>3</v>
      </c>
      <c r="W53">
        <f>_xlfn.XLOOKUP(A53,Operations_Data!A:A,Operations_Data!C:C)</f>
        <v>0.02</v>
      </c>
    </row>
    <row r="54" spans="1:23">
      <c r="A54" s="2" t="s">
        <v>97</v>
      </c>
      <c r="B54" s="4">
        <v>45790.724930555552</v>
      </c>
      <c r="C54" s="2" t="s">
        <v>5</v>
      </c>
      <c r="D54" s="2">
        <v>1020</v>
      </c>
      <c r="E54" s="2" t="s">
        <v>53</v>
      </c>
      <c r="F54" s="2">
        <v>2</v>
      </c>
      <c r="G54" s="2">
        <v>1169</v>
      </c>
      <c r="H54" t="str">
        <f>_xlfn.XLOOKUP(TRIM(E54),Product_List!A:A,Product_List!B:B)</f>
        <v>Office</v>
      </c>
      <c r="I54">
        <f>_xlfn.XLOOKUP(TRIM(E54),Product_List!A:A,Product_List!D:D)</f>
        <v>136</v>
      </c>
      <c r="J54">
        <f>_xlfn.XLOOKUP(TRIM(E54),Product_List!A:A,Product_List!E:E)</f>
        <v>0.1</v>
      </c>
      <c r="K54">
        <f t="shared" si="0"/>
        <v>2338</v>
      </c>
      <c r="L54">
        <f t="shared" si="1"/>
        <v>2104.2000000000003</v>
      </c>
      <c r="M54">
        <f t="shared" si="2"/>
        <v>45808</v>
      </c>
      <c r="N54">
        <f>_xlfn.XLOOKUP(M54,Finance_Data!A:A,Finance_Data!B:B)</f>
        <v>32119</v>
      </c>
      <c r="O54">
        <f t="shared" si="3"/>
        <v>9</v>
      </c>
      <c r="P54">
        <f t="shared" si="4"/>
        <v>3568.7777777777778</v>
      </c>
      <c r="Q54">
        <f t="shared" si="5"/>
        <v>-1502.7777777777778</v>
      </c>
      <c r="R54">
        <f t="shared" si="6"/>
        <v>21494</v>
      </c>
      <c r="S54" t="str" cm="1">
        <f t="array" ref="S54">_xlfn.IFS(R54&gt;50000,"VIP",R54&gt;=20000,"Regular",TRUE,"Low Value")</f>
        <v>Regular</v>
      </c>
      <c r="T54" t="str">
        <f>INDEX(Product_List!B:B,MATCH(E55,Product_List!A:A,0))</f>
        <v>Accessories</v>
      </c>
      <c r="U54">
        <f>_xlfn.XLOOKUP(A54,Operations_Data!A:A,Operations_Data!B:B)</f>
        <v>5</v>
      </c>
      <c r="W54">
        <f>_xlfn.XLOOKUP(A54,Operations_Data!A:A,Operations_Data!C:C)</f>
        <v>0.09</v>
      </c>
    </row>
    <row r="55" spans="1:23">
      <c r="A55" s="2" t="s">
        <v>98</v>
      </c>
      <c r="B55" s="4">
        <v>45790.060497685183</v>
      </c>
      <c r="C55" s="2" t="s">
        <v>6</v>
      </c>
      <c r="D55" s="2">
        <v>1019</v>
      </c>
      <c r="E55" s="2" t="s">
        <v>42</v>
      </c>
      <c r="F55" s="2">
        <v>4</v>
      </c>
      <c r="G55" s="2">
        <v>1964</v>
      </c>
      <c r="H55" t="str">
        <f>_xlfn.XLOOKUP(TRIM(E55),Product_List!A:A,Product_List!B:B)</f>
        <v>Accessories</v>
      </c>
      <c r="I55">
        <f>_xlfn.XLOOKUP(TRIM(E55),Product_List!A:A,Product_List!D:D)</f>
        <v>323</v>
      </c>
      <c r="J55">
        <f>_xlfn.XLOOKUP(TRIM(E55),Product_List!A:A,Product_List!E:E)</f>
        <v>0.1</v>
      </c>
      <c r="K55">
        <f t="shared" si="0"/>
        <v>7856</v>
      </c>
      <c r="L55">
        <f t="shared" si="1"/>
        <v>7070.4000000000005</v>
      </c>
      <c r="M55">
        <f t="shared" si="2"/>
        <v>45808</v>
      </c>
      <c r="N55">
        <f>_xlfn.XLOOKUP(M55,Finance_Data!A:A,Finance_Data!B:B)</f>
        <v>32119</v>
      </c>
      <c r="O55">
        <f t="shared" si="3"/>
        <v>9</v>
      </c>
      <c r="P55">
        <f t="shared" si="4"/>
        <v>3568.7777777777778</v>
      </c>
      <c r="Q55">
        <f t="shared" si="5"/>
        <v>2995.2222222222222</v>
      </c>
      <c r="R55">
        <f t="shared" si="6"/>
        <v>20633</v>
      </c>
      <c r="S55" t="str" cm="1">
        <f t="array" ref="S55">_xlfn.IFS(R55&gt;50000,"VIP",R55&gt;=20000,"Regular",TRUE,"Low Value")</f>
        <v>Regular</v>
      </c>
      <c r="T55" t="str">
        <f>INDEX(Product_List!B:B,MATCH(E56,Product_List!A:A,0))</f>
        <v>Electronics</v>
      </c>
      <c r="U55">
        <f>_xlfn.XLOOKUP(A55,Operations_Data!A:A,Operations_Data!B:B)</f>
        <v>3</v>
      </c>
      <c r="W55">
        <f>_xlfn.XLOOKUP(A55,Operations_Data!A:A,Operations_Data!C:C)</f>
        <v>0.02</v>
      </c>
    </row>
    <row r="56" spans="1:23">
      <c r="A56" s="2" t="s">
        <v>99</v>
      </c>
      <c r="B56" s="4">
        <v>45797.920590277776</v>
      </c>
      <c r="C56" s="2" t="s">
        <v>6</v>
      </c>
      <c r="D56" s="2">
        <v>1002</v>
      </c>
      <c r="E56" s="2" t="s">
        <v>40</v>
      </c>
      <c r="F56" s="2">
        <v>4</v>
      </c>
      <c r="G56" s="2">
        <v>1929</v>
      </c>
      <c r="H56" t="str">
        <f>_xlfn.XLOOKUP(TRIM(E56),Product_List!A:A,Product_List!B:B)</f>
        <v>Electronics</v>
      </c>
      <c r="I56">
        <f>_xlfn.XLOOKUP(TRIM(E56),Product_List!A:A,Product_List!D:D)</f>
        <v>492</v>
      </c>
      <c r="J56">
        <f>_xlfn.XLOOKUP(TRIM(E56),Product_List!A:A,Product_List!E:E)</f>
        <v>0.14000000000000001</v>
      </c>
      <c r="K56">
        <f t="shared" si="0"/>
        <v>7716</v>
      </c>
      <c r="L56">
        <f t="shared" si="1"/>
        <v>6635.76</v>
      </c>
      <c r="M56">
        <f t="shared" si="2"/>
        <v>45808</v>
      </c>
      <c r="N56">
        <f>_xlfn.XLOOKUP(M56,Finance_Data!A:A,Finance_Data!B:B)</f>
        <v>32119</v>
      </c>
      <c r="O56">
        <f t="shared" si="3"/>
        <v>9</v>
      </c>
      <c r="P56">
        <f t="shared" si="4"/>
        <v>3568.7777777777778</v>
      </c>
      <c r="Q56">
        <f t="shared" si="5"/>
        <v>2179.2222222222222</v>
      </c>
      <c r="R56">
        <f t="shared" si="6"/>
        <v>14833</v>
      </c>
      <c r="S56" t="str" cm="1">
        <f t="array" ref="S56">_xlfn.IFS(R56&gt;50000,"VIP",R56&gt;=20000,"Regular",TRUE,"Low Value")</f>
        <v>Low Value</v>
      </c>
      <c r="T56" t="str">
        <f>INDEX(Product_List!B:B,MATCH(E57,Product_List!A:A,0))</f>
        <v>Office</v>
      </c>
      <c r="U56">
        <f>_xlfn.XLOOKUP(A56,Operations_Data!A:A,Operations_Data!B:B)</f>
        <v>8</v>
      </c>
      <c r="W56">
        <f>_xlfn.XLOOKUP(A56,Operations_Data!A:A,Operations_Data!C:C)</f>
        <v>0.1</v>
      </c>
    </row>
    <row r="57" spans="1:23">
      <c r="A57" s="2" t="s">
        <v>100</v>
      </c>
      <c r="B57" s="4">
        <v>45756.893043981479</v>
      </c>
      <c r="C57" s="2" t="s">
        <v>3</v>
      </c>
      <c r="D57" s="2">
        <v>1005</v>
      </c>
      <c r="E57" s="2" t="s">
        <v>53</v>
      </c>
      <c r="F57" s="2">
        <v>2</v>
      </c>
      <c r="G57" s="2">
        <v>109</v>
      </c>
      <c r="H57" t="str">
        <f>_xlfn.XLOOKUP(TRIM(E57),Product_List!A:A,Product_List!B:B)</f>
        <v>Office</v>
      </c>
      <c r="I57">
        <f>_xlfn.XLOOKUP(TRIM(E57),Product_List!A:A,Product_List!D:D)</f>
        <v>136</v>
      </c>
      <c r="J57">
        <f>_xlfn.XLOOKUP(TRIM(E57),Product_List!A:A,Product_List!E:E)</f>
        <v>0.1</v>
      </c>
      <c r="K57">
        <f t="shared" si="0"/>
        <v>218</v>
      </c>
      <c r="L57">
        <f t="shared" si="1"/>
        <v>196.20000000000002</v>
      </c>
      <c r="M57">
        <f t="shared" si="2"/>
        <v>45777</v>
      </c>
      <c r="N57">
        <f>_xlfn.XLOOKUP(M57,Finance_Data!A:A,Finance_Data!B:B)</f>
        <v>44423</v>
      </c>
      <c r="O57">
        <f t="shared" si="3"/>
        <v>14</v>
      </c>
      <c r="P57">
        <f t="shared" si="4"/>
        <v>3173.0714285714284</v>
      </c>
      <c r="Q57">
        <f t="shared" si="5"/>
        <v>-3227.0714285714284</v>
      </c>
      <c r="R57">
        <f t="shared" si="6"/>
        <v>24821</v>
      </c>
      <c r="S57" t="str" cm="1">
        <f t="array" ref="S57">_xlfn.IFS(R57&gt;50000,"VIP",R57&gt;=20000,"Regular",TRUE,"Low Value")</f>
        <v>Regular</v>
      </c>
      <c r="T57" t="str">
        <f>INDEX(Product_List!B:B,MATCH(E58,Product_List!A:A,0))</f>
        <v>Electronics</v>
      </c>
      <c r="U57">
        <f>_xlfn.XLOOKUP(A57,Operations_Data!A:A,Operations_Data!B:B)</f>
        <v>2</v>
      </c>
      <c r="W57">
        <f>_xlfn.XLOOKUP(A57,Operations_Data!A:A,Operations_Data!C:C)</f>
        <v>0.06</v>
      </c>
    </row>
    <row r="58" spans="1:23">
      <c r="A58" s="2" t="s">
        <v>101</v>
      </c>
      <c r="B58" s="4">
        <v>45782.080439814818</v>
      </c>
      <c r="C58" s="2" t="s">
        <v>4</v>
      </c>
      <c r="D58" s="2">
        <v>1009</v>
      </c>
      <c r="E58" s="2" t="s">
        <v>46</v>
      </c>
      <c r="F58" s="2">
        <v>9</v>
      </c>
      <c r="G58" s="2">
        <v>249</v>
      </c>
      <c r="H58" t="str">
        <f>_xlfn.XLOOKUP(TRIM(E58),Product_List!A:A,Product_List!B:B)</f>
        <v>Electronics</v>
      </c>
      <c r="I58">
        <f>_xlfn.XLOOKUP(TRIM(E58),Product_List!A:A,Product_List!D:D)</f>
        <v>97</v>
      </c>
      <c r="J58">
        <f>_xlfn.XLOOKUP(TRIM(E58),Product_List!A:A,Product_List!E:E)</f>
        <v>0.08</v>
      </c>
      <c r="K58">
        <f t="shared" si="0"/>
        <v>2241</v>
      </c>
      <c r="L58">
        <f t="shared" si="1"/>
        <v>2061.7200000000003</v>
      </c>
      <c r="M58">
        <f t="shared" si="2"/>
        <v>45808</v>
      </c>
      <c r="N58">
        <f>_xlfn.XLOOKUP(M58,Finance_Data!A:A,Finance_Data!B:B)</f>
        <v>32119</v>
      </c>
      <c r="O58">
        <f t="shared" si="3"/>
        <v>9</v>
      </c>
      <c r="P58">
        <f t="shared" si="4"/>
        <v>3568.7777777777778</v>
      </c>
      <c r="Q58">
        <f t="shared" si="5"/>
        <v>-2200.7777777777778</v>
      </c>
      <c r="R58">
        <f t="shared" si="6"/>
        <v>26022</v>
      </c>
      <c r="S58" t="str" cm="1">
        <f t="array" ref="S58">_xlfn.IFS(R58&gt;50000,"VIP",R58&gt;=20000,"Regular",TRUE,"Low Value")</f>
        <v>Regular</v>
      </c>
      <c r="T58" t="str">
        <f>INDEX(Product_List!B:B,MATCH(E59,Product_List!A:A,0))</f>
        <v>Accessories</v>
      </c>
      <c r="U58">
        <f>_xlfn.XLOOKUP(A58,Operations_Data!A:A,Operations_Data!B:B)</f>
        <v>7</v>
      </c>
      <c r="W58">
        <f>_xlfn.XLOOKUP(A58,Operations_Data!A:A,Operations_Data!C:C)</f>
        <v>0.02</v>
      </c>
    </row>
    <row r="59" spans="1:23">
      <c r="A59" s="2" t="s">
        <v>102</v>
      </c>
      <c r="B59" s="4">
        <v>45770.850115740737</v>
      </c>
      <c r="C59" s="2" t="s">
        <v>3</v>
      </c>
      <c r="D59" s="2">
        <v>1018</v>
      </c>
      <c r="E59" s="2" t="s">
        <v>42</v>
      </c>
      <c r="F59" s="2">
        <v>7</v>
      </c>
      <c r="G59" s="2">
        <v>520</v>
      </c>
      <c r="H59" t="str">
        <f>_xlfn.XLOOKUP(TRIM(E59),Product_List!A:A,Product_List!B:B)</f>
        <v>Accessories</v>
      </c>
      <c r="I59">
        <f>_xlfn.XLOOKUP(TRIM(E59),Product_List!A:A,Product_List!D:D)</f>
        <v>323</v>
      </c>
      <c r="J59">
        <f>_xlfn.XLOOKUP(TRIM(E59),Product_List!A:A,Product_List!E:E)</f>
        <v>0.1</v>
      </c>
      <c r="K59">
        <f t="shared" si="0"/>
        <v>3640</v>
      </c>
      <c r="L59">
        <f t="shared" si="1"/>
        <v>3276</v>
      </c>
      <c r="M59">
        <f t="shared" si="2"/>
        <v>45777</v>
      </c>
      <c r="N59">
        <f>_xlfn.XLOOKUP(M59,Finance_Data!A:A,Finance_Data!B:B)</f>
        <v>44423</v>
      </c>
      <c r="O59">
        <f t="shared" si="3"/>
        <v>14</v>
      </c>
      <c r="P59">
        <f t="shared" si="4"/>
        <v>3173.0714285714284</v>
      </c>
      <c r="Q59">
        <f t="shared" si="5"/>
        <v>-1794.0714285714284</v>
      </c>
      <c r="R59">
        <f t="shared" si="6"/>
        <v>31997</v>
      </c>
      <c r="S59" t="str" cm="1">
        <f t="array" ref="S59">_xlfn.IFS(R59&gt;50000,"VIP",R59&gt;=20000,"Regular",TRUE,"Low Value")</f>
        <v>Regular</v>
      </c>
      <c r="T59" t="str">
        <f>INDEX(Product_List!B:B,MATCH(E60,Product_List!A:A,0))</f>
        <v>Electronics</v>
      </c>
      <c r="U59">
        <f>_xlfn.XLOOKUP(A59,Operations_Data!A:A,Operations_Data!B:B)</f>
        <v>7</v>
      </c>
      <c r="W59">
        <f>_xlfn.XLOOKUP(A59,Operations_Data!A:A,Operations_Data!C:C)</f>
        <v>0.04</v>
      </c>
    </row>
    <row r="60" spans="1:23">
      <c r="A60" s="2" t="s">
        <v>103</v>
      </c>
      <c r="B60" s="4">
        <v>45811.899641203701</v>
      </c>
      <c r="C60" s="2" t="s">
        <v>5</v>
      </c>
      <c r="D60" s="2">
        <v>1007</v>
      </c>
      <c r="E60" s="2" t="s">
        <v>44</v>
      </c>
      <c r="F60" s="2">
        <v>9</v>
      </c>
      <c r="G60" s="2">
        <v>854</v>
      </c>
      <c r="H60" t="str">
        <f>_xlfn.XLOOKUP(TRIM(E60),Product_List!A:A,Product_List!B:B)</f>
        <v>Electronics</v>
      </c>
      <c r="I60">
        <f>_xlfn.XLOOKUP(TRIM(E60),Product_List!A:A,Product_List!D:D)</f>
        <v>463</v>
      </c>
      <c r="J60">
        <f>_xlfn.XLOOKUP(TRIM(E60),Product_List!A:A,Product_List!E:E)</f>
        <v>0.23</v>
      </c>
      <c r="K60">
        <f t="shared" si="0"/>
        <v>7686</v>
      </c>
      <c r="L60">
        <f t="shared" si="1"/>
        <v>5918.22</v>
      </c>
      <c r="M60">
        <f t="shared" si="2"/>
        <v>45838</v>
      </c>
      <c r="N60">
        <f>_xlfn.XLOOKUP(M60,Finance_Data!A:A,Finance_Data!B:B)</f>
        <v>20079</v>
      </c>
      <c r="O60">
        <f t="shared" si="3"/>
        <v>7</v>
      </c>
      <c r="P60">
        <f t="shared" si="4"/>
        <v>2868.4285714285716</v>
      </c>
      <c r="Q60">
        <f t="shared" si="5"/>
        <v>650.57142857142844</v>
      </c>
      <c r="R60">
        <f t="shared" si="6"/>
        <v>29517</v>
      </c>
      <c r="S60" t="str" cm="1">
        <f t="array" ref="S60">_xlfn.IFS(R60&gt;50000,"VIP",R60&gt;=20000,"Regular",TRUE,"Low Value")</f>
        <v>Regular</v>
      </c>
      <c r="T60" t="str">
        <f>INDEX(Product_List!B:B,MATCH(E61,Product_List!A:A,0))</f>
        <v>Accessories</v>
      </c>
      <c r="U60">
        <f>_xlfn.XLOOKUP(A60,Operations_Data!A:A,Operations_Data!B:B)</f>
        <v>1</v>
      </c>
      <c r="W60">
        <f>_xlfn.XLOOKUP(A60,Operations_Data!A:A,Operations_Data!C:C)</f>
        <v>0.02</v>
      </c>
    </row>
    <row r="61" spans="1:23">
      <c r="A61" s="2" t="s">
        <v>104</v>
      </c>
      <c r="B61" s="4">
        <v>45752.782893518517</v>
      </c>
      <c r="C61" s="2" t="s">
        <v>3</v>
      </c>
      <c r="D61" s="2">
        <v>1006</v>
      </c>
      <c r="E61" s="2" t="s">
        <v>42</v>
      </c>
      <c r="F61" s="2">
        <v>2</v>
      </c>
      <c r="G61" s="2">
        <v>1035</v>
      </c>
      <c r="H61" t="str">
        <f>_xlfn.XLOOKUP(TRIM(E61),Product_List!A:A,Product_List!B:B)</f>
        <v>Accessories</v>
      </c>
      <c r="I61">
        <f>_xlfn.XLOOKUP(TRIM(E61),Product_List!A:A,Product_List!D:D)</f>
        <v>323</v>
      </c>
      <c r="J61">
        <f>_xlfn.XLOOKUP(TRIM(E61),Product_List!A:A,Product_List!E:E)</f>
        <v>0.1</v>
      </c>
      <c r="K61">
        <f t="shared" si="0"/>
        <v>2070</v>
      </c>
      <c r="L61">
        <f t="shared" si="1"/>
        <v>1863</v>
      </c>
      <c r="M61">
        <f t="shared" si="2"/>
        <v>45777</v>
      </c>
      <c r="N61">
        <f>_xlfn.XLOOKUP(M61,Finance_Data!A:A,Finance_Data!B:B)</f>
        <v>44423</v>
      </c>
      <c r="O61">
        <f t="shared" si="3"/>
        <v>14</v>
      </c>
      <c r="P61">
        <f t="shared" si="4"/>
        <v>3173.0714285714284</v>
      </c>
      <c r="Q61">
        <f t="shared" si="5"/>
        <v>-1749.0714285714284</v>
      </c>
      <c r="R61">
        <f t="shared" si="6"/>
        <v>34295</v>
      </c>
      <c r="S61" t="str" cm="1">
        <f t="array" ref="S61">_xlfn.IFS(R61&gt;50000,"VIP",R61&gt;=20000,"Regular",TRUE,"Low Value")</f>
        <v>Regular</v>
      </c>
      <c r="T61" t="str">
        <f>INDEX(Product_List!B:B,MATCH(E62,Product_List!A:A,0))</f>
        <v>Electronics</v>
      </c>
      <c r="U61">
        <f>_xlfn.XLOOKUP(A61,Operations_Data!A:A,Operations_Data!B:B)</f>
        <v>8</v>
      </c>
      <c r="W61">
        <f>_xlfn.XLOOKUP(A61,Operations_Data!A:A,Operations_Data!C:C)</f>
        <v>0.04</v>
      </c>
    </row>
    <row r="62" spans="1:23">
      <c r="A62" s="2" t="s">
        <v>105</v>
      </c>
      <c r="B62" s="4">
        <v>45839.827893518515</v>
      </c>
      <c r="C62" s="2" t="s">
        <v>4</v>
      </c>
      <c r="D62" s="2">
        <v>1001</v>
      </c>
      <c r="E62" s="2" t="s">
        <v>44</v>
      </c>
      <c r="F62" s="2">
        <v>4</v>
      </c>
      <c r="G62" s="2">
        <v>160</v>
      </c>
      <c r="H62" t="str">
        <f>_xlfn.XLOOKUP(TRIM(E62),Product_List!A:A,Product_List!B:B)</f>
        <v>Electronics</v>
      </c>
      <c r="I62">
        <f>_xlfn.XLOOKUP(TRIM(E62),Product_List!A:A,Product_List!D:D)</f>
        <v>463</v>
      </c>
      <c r="J62">
        <f>_xlfn.XLOOKUP(TRIM(E62),Product_List!A:A,Product_List!E:E)</f>
        <v>0.23</v>
      </c>
      <c r="K62">
        <f>F62*G62</f>
        <v>640</v>
      </c>
      <c r="L62">
        <f t="shared" si="1"/>
        <v>492.8</v>
      </c>
      <c r="M62">
        <f t="shared" si="2"/>
        <v>45869</v>
      </c>
      <c r="N62">
        <f>_xlfn.XLOOKUP(M62,Finance_Data!A:A,Finance_Data!B:B)</f>
        <v>36304</v>
      </c>
      <c r="O62">
        <f t="shared" si="3"/>
        <v>12</v>
      </c>
      <c r="P62">
        <f t="shared" si="4"/>
        <v>3025.3333333333335</v>
      </c>
      <c r="Q62">
        <f t="shared" si="5"/>
        <v>-4237.3333333333339</v>
      </c>
      <c r="R62">
        <f t="shared" si="6"/>
        <v>23279</v>
      </c>
      <c r="S62" t="str" cm="1">
        <f t="array" ref="S62">_xlfn.IFS(R62&gt;50000,"VIP",R62&gt;=20000,"Regular",TRUE,"Low Value")</f>
        <v>Regular</v>
      </c>
      <c r="T62" t="str">
        <f>INDEX(Product_List!B:B,MATCH(E63,Product_List!A:A,0))</f>
        <v>Electronics</v>
      </c>
      <c r="U62">
        <f>_xlfn.XLOOKUP(A62,Operations_Data!A:A,Operations_Data!B:B)</f>
        <v>3</v>
      </c>
      <c r="W62">
        <f>_xlfn.XLOOKUP(A62,Operations_Data!A:A,Operations_Data!C:C)</f>
        <v>0.06</v>
      </c>
    </row>
    <row r="63" spans="1:23">
      <c r="A63" s="2" t="s">
        <v>106</v>
      </c>
      <c r="B63" s="4">
        <v>45859.499537037038</v>
      </c>
      <c r="C63" s="2" t="s">
        <v>5</v>
      </c>
      <c r="D63" s="2">
        <v>1001</v>
      </c>
      <c r="E63" s="2" t="s">
        <v>44</v>
      </c>
      <c r="F63" s="2">
        <v>1</v>
      </c>
      <c r="G63" s="2">
        <v>233</v>
      </c>
      <c r="H63" t="str">
        <f>_xlfn.XLOOKUP(TRIM(E63),Product_List!A:A,Product_List!B:B)</f>
        <v>Electronics</v>
      </c>
      <c r="I63">
        <f>_xlfn.XLOOKUP(TRIM(E63),Product_List!A:A,Product_List!D:D)</f>
        <v>463</v>
      </c>
      <c r="J63">
        <f>_xlfn.XLOOKUP(TRIM(E63),Product_List!A:A,Product_List!E:E)</f>
        <v>0.23</v>
      </c>
      <c r="K63">
        <f t="shared" si="0"/>
        <v>233</v>
      </c>
      <c r="L63">
        <f t="shared" si="1"/>
        <v>179.41</v>
      </c>
      <c r="M63">
        <f t="shared" si="2"/>
        <v>45869</v>
      </c>
      <c r="N63">
        <f>_xlfn.XLOOKUP(M63,Finance_Data!A:A,Finance_Data!B:B)</f>
        <v>36304</v>
      </c>
      <c r="O63">
        <f t="shared" si="3"/>
        <v>12</v>
      </c>
      <c r="P63">
        <f t="shared" si="4"/>
        <v>3025.3333333333335</v>
      </c>
      <c r="Q63">
        <f t="shared" si="5"/>
        <v>-3255.3333333333335</v>
      </c>
      <c r="R63">
        <f t="shared" si="6"/>
        <v>23279</v>
      </c>
      <c r="S63" t="str" cm="1">
        <f t="array" ref="S63">_xlfn.IFS(R63&gt;50000,"VIP",R63&gt;=20000,"Regular",TRUE,"Low Value")</f>
        <v>Regular</v>
      </c>
      <c r="T63" t="str">
        <f>INDEX(Product_List!B:B,MATCH(E64,Product_List!A:A,0))</f>
        <v>Electronics</v>
      </c>
      <c r="U63">
        <f>_xlfn.XLOOKUP(A63,Operations_Data!A:A,Operations_Data!B:B)</f>
        <v>4</v>
      </c>
      <c r="W63">
        <f>_xlfn.XLOOKUP(A63,Operations_Data!A:A,Operations_Data!C:C)</f>
        <v>7.0000000000000007E-2</v>
      </c>
    </row>
    <row r="64" spans="1:23">
      <c r="A64" s="2" t="s">
        <v>107</v>
      </c>
      <c r="B64" s="4">
        <v>45894.505104166667</v>
      </c>
      <c r="C64" s="2" t="s">
        <v>6</v>
      </c>
      <c r="D64" s="2">
        <v>1010</v>
      </c>
      <c r="E64" s="2" t="s">
        <v>46</v>
      </c>
      <c r="F64" s="2">
        <v>9</v>
      </c>
      <c r="G64" s="2">
        <v>312</v>
      </c>
      <c r="H64" t="str">
        <f>_xlfn.XLOOKUP(TRIM(E64),Product_List!A:A,Product_List!B:B)</f>
        <v>Electronics</v>
      </c>
      <c r="I64">
        <f>_xlfn.XLOOKUP(TRIM(E64),Product_List!A:A,Product_List!D:D)</f>
        <v>97</v>
      </c>
      <c r="J64">
        <f>_xlfn.XLOOKUP(TRIM(E64),Product_List!A:A,Product_List!E:E)</f>
        <v>0.08</v>
      </c>
      <c r="K64">
        <f t="shared" si="0"/>
        <v>2808</v>
      </c>
      <c r="L64">
        <f t="shared" si="1"/>
        <v>2583.36</v>
      </c>
      <c r="M64">
        <f t="shared" si="2"/>
        <v>45900</v>
      </c>
      <c r="N64">
        <f>_xlfn.XLOOKUP(M64,Finance_Data!A:A,Finance_Data!B:B)</f>
        <v>36734</v>
      </c>
      <c r="O64">
        <f t="shared" si="3"/>
        <v>11</v>
      </c>
      <c r="P64">
        <f t="shared" si="4"/>
        <v>3339.4545454545455</v>
      </c>
      <c r="Q64">
        <f t="shared" si="5"/>
        <v>-1404.4545454545455</v>
      </c>
      <c r="R64">
        <f t="shared" si="6"/>
        <v>23446</v>
      </c>
      <c r="S64" t="str" cm="1">
        <f t="array" ref="S64">_xlfn.IFS(R64&gt;50000,"VIP",R64&gt;=20000,"Regular",TRUE,"Low Value")</f>
        <v>Regular</v>
      </c>
      <c r="T64" t="str">
        <f>INDEX(Product_List!B:B,MATCH(E65,Product_List!A:A,0))</f>
        <v>Electronics</v>
      </c>
      <c r="U64">
        <f>_xlfn.XLOOKUP(A64,Operations_Data!A:A,Operations_Data!B:B)</f>
        <v>6</v>
      </c>
      <c r="W64">
        <f>_xlfn.XLOOKUP(A64,Operations_Data!A:A,Operations_Data!C:C)</f>
        <v>0.05</v>
      </c>
    </row>
    <row r="65" spans="1:23">
      <c r="A65" s="2" t="s">
        <v>108</v>
      </c>
      <c r="B65" s="4">
        <v>45844.2341087963</v>
      </c>
      <c r="C65" s="2" t="s">
        <v>3</v>
      </c>
      <c r="D65" s="2">
        <v>1019</v>
      </c>
      <c r="E65" s="2" t="s">
        <v>48</v>
      </c>
      <c r="F65" s="2">
        <v>3</v>
      </c>
      <c r="G65" s="2">
        <v>603</v>
      </c>
      <c r="H65" t="str">
        <f>_xlfn.XLOOKUP(TRIM(E65),Product_List!A:A,Product_List!B:B)</f>
        <v>Electronics</v>
      </c>
      <c r="I65">
        <f>_xlfn.XLOOKUP(TRIM(E65),Product_List!A:A,Product_List!D:D)</f>
        <v>469</v>
      </c>
      <c r="J65">
        <f>_xlfn.XLOOKUP(TRIM(E65),Product_List!A:A,Product_List!E:E)</f>
        <v>0.22</v>
      </c>
      <c r="K65">
        <f t="shared" si="0"/>
        <v>1809</v>
      </c>
      <c r="L65">
        <f t="shared" si="1"/>
        <v>1411.02</v>
      </c>
      <c r="M65">
        <f t="shared" si="2"/>
        <v>45869</v>
      </c>
      <c r="N65">
        <f>_xlfn.XLOOKUP(M65,Finance_Data!A:A,Finance_Data!B:B)</f>
        <v>36304</v>
      </c>
      <c r="O65">
        <f t="shared" si="3"/>
        <v>12</v>
      </c>
      <c r="P65">
        <f t="shared" si="4"/>
        <v>3025.3333333333335</v>
      </c>
      <c r="Q65">
        <f t="shared" si="5"/>
        <v>-2623.3333333333335</v>
      </c>
      <c r="R65">
        <f t="shared" si="6"/>
        <v>20633</v>
      </c>
      <c r="S65" t="str" cm="1">
        <f t="array" ref="S65">_xlfn.IFS(R65&gt;50000,"VIP",R65&gt;=20000,"Regular",TRUE,"Low Value")</f>
        <v>Regular</v>
      </c>
      <c r="T65" t="str">
        <f>INDEX(Product_List!B:B,MATCH(E66,Product_List!A:A,0))</f>
        <v>Electronics</v>
      </c>
      <c r="U65">
        <f>_xlfn.XLOOKUP(A65,Operations_Data!A:A,Operations_Data!B:B)</f>
        <v>5</v>
      </c>
      <c r="W65">
        <f>_xlfn.XLOOKUP(A65,Operations_Data!A:A,Operations_Data!C:C)</f>
        <v>0.03</v>
      </c>
    </row>
    <row r="66" spans="1:23">
      <c r="A66" s="2" t="s">
        <v>109</v>
      </c>
      <c r="B66" s="4">
        <v>45850.673425925925</v>
      </c>
      <c r="C66" s="2" t="s">
        <v>5</v>
      </c>
      <c r="D66" s="2">
        <v>1006</v>
      </c>
      <c r="E66" s="2" t="s">
        <v>44</v>
      </c>
      <c r="F66" s="2">
        <v>8</v>
      </c>
      <c r="G66" s="2">
        <v>1987</v>
      </c>
      <c r="H66" t="str">
        <f>_xlfn.XLOOKUP(TRIM(E66),Product_List!A:A,Product_List!B:B)</f>
        <v>Electronics</v>
      </c>
      <c r="I66">
        <f>_xlfn.XLOOKUP(TRIM(E66),Product_List!A:A,Product_List!D:D)</f>
        <v>463</v>
      </c>
      <c r="J66">
        <f>_xlfn.XLOOKUP(TRIM(E66),Product_List!A:A,Product_List!E:E)</f>
        <v>0.23</v>
      </c>
      <c r="K66">
        <f t="shared" si="0"/>
        <v>15896</v>
      </c>
      <c r="L66">
        <f t="shared" si="1"/>
        <v>12239.92</v>
      </c>
      <c r="M66">
        <f t="shared" si="2"/>
        <v>45869</v>
      </c>
      <c r="N66">
        <f>_xlfn.XLOOKUP(M66,Finance_Data!A:A,Finance_Data!B:B)</f>
        <v>36304</v>
      </c>
      <c r="O66">
        <f t="shared" si="3"/>
        <v>12</v>
      </c>
      <c r="P66">
        <f t="shared" si="4"/>
        <v>3025.3333333333335</v>
      </c>
      <c r="Q66">
        <f t="shared" si="5"/>
        <v>9166.6666666666661</v>
      </c>
      <c r="R66">
        <f t="shared" si="6"/>
        <v>34295</v>
      </c>
      <c r="S66" t="str" cm="1">
        <f t="array" ref="S66">_xlfn.IFS(R66&gt;50000,"VIP",R66&gt;=20000,"Regular",TRUE,"Low Value")</f>
        <v>Regular</v>
      </c>
      <c r="T66" t="str">
        <f>INDEX(Product_List!B:B,MATCH(E67,Product_List!A:A,0))</f>
        <v>Electronics</v>
      </c>
      <c r="U66">
        <f>_xlfn.XLOOKUP(A66,Operations_Data!A:A,Operations_Data!B:B)</f>
        <v>3</v>
      </c>
      <c r="W66">
        <f>_xlfn.XLOOKUP(A66,Operations_Data!A:A,Operations_Data!C:C)</f>
        <v>0.06</v>
      </c>
    </row>
    <row r="67" spans="1:23">
      <c r="A67" s="2" t="s">
        <v>110</v>
      </c>
      <c r="B67" s="4">
        <v>45891.79111111111</v>
      </c>
      <c r="C67" s="2" t="s">
        <v>4</v>
      </c>
      <c r="D67" s="2">
        <v>1008</v>
      </c>
      <c r="E67" s="2" t="s">
        <v>48</v>
      </c>
      <c r="F67" s="2">
        <v>3</v>
      </c>
      <c r="G67" s="2">
        <v>589</v>
      </c>
      <c r="H67" t="str">
        <f>_xlfn.XLOOKUP(TRIM(E67),Product_List!A:A,Product_List!B:B)</f>
        <v>Electronics</v>
      </c>
      <c r="I67">
        <f>_xlfn.XLOOKUP(TRIM(E67),Product_List!A:A,Product_List!D:D)</f>
        <v>469</v>
      </c>
      <c r="J67">
        <f>_xlfn.XLOOKUP(TRIM(E67),Product_List!A:A,Product_List!E:E)</f>
        <v>0.22</v>
      </c>
      <c r="K67">
        <f t="shared" ref="K67:K91" si="7">F67*G67</f>
        <v>1767</v>
      </c>
      <c r="L67">
        <f t="shared" ref="L67:L91" si="8">K67*(1-J67)</f>
        <v>1378.26</v>
      </c>
      <c r="M67">
        <f t="shared" ref="M67:M91" si="9">EOMONTH(B67,0)</f>
        <v>45900</v>
      </c>
      <c r="N67">
        <f>_xlfn.XLOOKUP(M67,Finance_Data!A:A,Finance_Data!B:B)</f>
        <v>36734</v>
      </c>
      <c r="O67">
        <f t="shared" ref="O67:O91" si="10">COUNTIF($M$2:$M$97,M67)</f>
        <v>11</v>
      </c>
      <c r="P67">
        <f t="shared" ref="P67:P91" si="11">N67/O67</f>
        <v>3339.4545454545455</v>
      </c>
      <c r="Q67">
        <f t="shared" ref="Q67:Q91" si="12">K67-(F67*I67)-P67</f>
        <v>-2979.4545454545455</v>
      </c>
      <c r="R67">
        <f t="shared" ref="R67:R91" si="13">SUMIF($D$2:$D$97,D67,$K$2:$K$97)</f>
        <v>5269</v>
      </c>
      <c r="S67" t="str" cm="1">
        <f t="array" ref="S67">_xlfn.IFS(R67&gt;50000,"VIP",R67&gt;=20000,"Regular",TRUE,"Low Value")</f>
        <v>Low Value</v>
      </c>
      <c r="T67" t="str">
        <f>INDEX(Product_List!B:B,MATCH(E68,Product_List!A:A,0))</f>
        <v>Accessories</v>
      </c>
      <c r="U67">
        <f>_xlfn.XLOOKUP(A67,Operations_Data!A:A,Operations_Data!B:B)</f>
        <v>5</v>
      </c>
      <c r="W67">
        <f>_xlfn.XLOOKUP(A67,Operations_Data!A:A,Operations_Data!C:C)</f>
        <v>0.04</v>
      </c>
    </row>
    <row r="68" spans="1:23">
      <c r="A68" s="2" t="s">
        <v>111</v>
      </c>
      <c r="B68" s="4">
        <v>45886.32172453704</v>
      </c>
      <c r="C68" s="2" t="s">
        <v>3</v>
      </c>
      <c r="D68" s="2">
        <v>1006</v>
      </c>
      <c r="E68" s="2" t="s">
        <v>42</v>
      </c>
      <c r="F68" s="2">
        <v>2</v>
      </c>
      <c r="G68" s="2">
        <v>1742</v>
      </c>
      <c r="H68" t="str">
        <f>_xlfn.XLOOKUP(TRIM(E68),Product_List!A:A,Product_List!B:B)</f>
        <v>Accessories</v>
      </c>
      <c r="I68">
        <f>_xlfn.XLOOKUP(TRIM(E68),Product_List!A:A,Product_List!D:D)</f>
        <v>323</v>
      </c>
      <c r="J68">
        <f>_xlfn.XLOOKUP(TRIM(E68),Product_List!A:A,Product_List!E:E)</f>
        <v>0.1</v>
      </c>
      <c r="K68">
        <f t="shared" si="7"/>
        <v>3484</v>
      </c>
      <c r="L68">
        <f t="shared" si="8"/>
        <v>3135.6</v>
      </c>
      <c r="M68">
        <f t="shared" si="9"/>
        <v>45900</v>
      </c>
      <c r="N68">
        <f>_xlfn.XLOOKUP(M68,Finance_Data!A:A,Finance_Data!B:B)</f>
        <v>36734</v>
      </c>
      <c r="O68">
        <f t="shared" si="10"/>
        <v>11</v>
      </c>
      <c r="P68">
        <f t="shared" si="11"/>
        <v>3339.4545454545455</v>
      </c>
      <c r="Q68">
        <f t="shared" si="12"/>
        <v>-501.4545454545455</v>
      </c>
      <c r="R68">
        <f t="shared" si="13"/>
        <v>34295</v>
      </c>
      <c r="S68" t="str" cm="1">
        <f t="array" ref="S68">_xlfn.IFS(R68&gt;50000,"VIP",R68&gt;=20000,"Regular",TRUE,"Low Value")</f>
        <v>Regular</v>
      </c>
      <c r="T68" t="str">
        <f>INDEX(Product_List!B:B,MATCH(E69,Product_List!A:A,0))</f>
        <v>Electronics</v>
      </c>
      <c r="U68">
        <f>_xlfn.XLOOKUP(A68,Operations_Data!A:A,Operations_Data!B:B)</f>
        <v>4</v>
      </c>
      <c r="W68">
        <f>_xlfn.XLOOKUP(A68,Operations_Data!A:A,Operations_Data!C:C)</f>
        <v>0.04</v>
      </c>
    </row>
    <row r="69" spans="1:23">
      <c r="A69" s="2" t="s">
        <v>112</v>
      </c>
      <c r="B69" s="4">
        <v>45857.334780092591</v>
      </c>
      <c r="C69" s="2" t="s">
        <v>5</v>
      </c>
      <c r="D69" s="2">
        <v>1015</v>
      </c>
      <c r="E69" s="2" t="s">
        <v>46</v>
      </c>
      <c r="F69" s="2">
        <v>4</v>
      </c>
      <c r="G69" s="2">
        <v>1461</v>
      </c>
      <c r="H69" t="str">
        <f>_xlfn.XLOOKUP(TRIM(E69),Product_List!A:A,Product_List!B:B)</f>
        <v>Electronics</v>
      </c>
      <c r="I69">
        <f>_xlfn.XLOOKUP(TRIM(E69),Product_List!A:A,Product_List!D:D)</f>
        <v>97</v>
      </c>
      <c r="J69">
        <f>_xlfn.XLOOKUP(TRIM(E69),Product_List!A:A,Product_List!E:E)</f>
        <v>0.08</v>
      </c>
      <c r="K69">
        <f t="shared" si="7"/>
        <v>5844</v>
      </c>
      <c r="L69">
        <f t="shared" si="8"/>
        <v>5376.4800000000005</v>
      </c>
      <c r="M69">
        <f t="shared" si="9"/>
        <v>45869</v>
      </c>
      <c r="N69">
        <f>_xlfn.XLOOKUP(M69,Finance_Data!A:A,Finance_Data!B:B)</f>
        <v>36304</v>
      </c>
      <c r="O69">
        <f t="shared" si="10"/>
        <v>12</v>
      </c>
      <c r="P69">
        <f t="shared" si="11"/>
        <v>3025.3333333333335</v>
      </c>
      <c r="Q69">
        <f t="shared" si="12"/>
        <v>2430.6666666666665</v>
      </c>
      <c r="R69">
        <f t="shared" si="13"/>
        <v>10260</v>
      </c>
      <c r="S69" t="str" cm="1">
        <f t="array" ref="S69">_xlfn.IFS(R69&gt;50000,"VIP",R69&gt;=20000,"Regular",TRUE,"Low Value")</f>
        <v>Low Value</v>
      </c>
      <c r="T69" t="str">
        <f>INDEX(Product_List!B:B,MATCH(E70,Product_List!A:A,0))</f>
        <v>Electronics</v>
      </c>
      <c r="U69">
        <f>_xlfn.XLOOKUP(A69,Operations_Data!A:A,Operations_Data!B:B)</f>
        <v>8</v>
      </c>
      <c r="W69">
        <f>_xlfn.XLOOKUP(A69,Operations_Data!A:A,Operations_Data!C:C)</f>
        <v>0.03</v>
      </c>
    </row>
    <row r="70" spans="1:23">
      <c r="A70" s="2" t="s">
        <v>113</v>
      </c>
      <c r="B70" s="4">
        <v>45914.314293981479</v>
      </c>
      <c r="C70" s="2" t="s">
        <v>5</v>
      </c>
      <c r="D70" s="2">
        <v>1002</v>
      </c>
      <c r="E70" s="2" t="s">
        <v>48</v>
      </c>
      <c r="F70" s="2">
        <v>3</v>
      </c>
      <c r="G70" s="2">
        <v>1133</v>
      </c>
      <c r="H70" t="str">
        <f>_xlfn.XLOOKUP(TRIM(E70),Product_List!A:A,Product_List!B:B)</f>
        <v>Electronics</v>
      </c>
      <c r="I70">
        <f>_xlfn.XLOOKUP(TRIM(E70),Product_List!A:A,Product_List!D:D)</f>
        <v>469</v>
      </c>
      <c r="J70">
        <f>_xlfn.XLOOKUP(TRIM(E70),Product_List!A:A,Product_List!E:E)</f>
        <v>0.22</v>
      </c>
      <c r="K70">
        <f t="shared" si="7"/>
        <v>3399</v>
      </c>
      <c r="L70">
        <f t="shared" si="8"/>
        <v>2651.2200000000003</v>
      </c>
      <c r="M70">
        <f t="shared" si="9"/>
        <v>45930</v>
      </c>
      <c r="N70">
        <f>_xlfn.XLOOKUP(M70,Finance_Data!A:A,Finance_Data!B:B)</f>
        <v>34260</v>
      </c>
      <c r="O70">
        <f t="shared" si="10"/>
        <v>7</v>
      </c>
      <c r="P70">
        <f t="shared" si="11"/>
        <v>4894.2857142857147</v>
      </c>
      <c r="Q70">
        <f t="shared" si="12"/>
        <v>-2902.2857142857147</v>
      </c>
      <c r="R70">
        <f t="shared" si="13"/>
        <v>14833</v>
      </c>
      <c r="S70" t="str" cm="1">
        <f t="array" ref="S70">_xlfn.IFS(R70&gt;50000,"VIP",R70&gt;=20000,"Regular",TRUE,"Low Value")</f>
        <v>Low Value</v>
      </c>
      <c r="T70" t="str">
        <f>INDEX(Product_List!B:B,MATCH(E71,Product_List!A:A,0))</f>
        <v>Electronics</v>
      </c>
      <c r="U70">
        <f>_xlfn.XLOOKUP(A70,Operations_Data!A:A,Operations_Data!B:B)</f>
        <v>1</v>
      </c>
      <c r="W70">
        <f>_xlfn.XLOOKUP(A70,Operations_Data!A:A,Operations_Data!C:C)</f>
        <v>0.02</v>
      </c>
    </row>
    <row r="71" spans="1:23">
      <c r="A71" s="2" t="s">
        <v>114</v>
      </c>
      <c r="B71" s="4">
        <v>45926.581597222219</v>
      </c>
      <c r="C71" s="2" t="s">
        <v>3</v>
      </c>
      <c r="D71" s="2">
        <v>1018</v>
      </c>
      <c r="E71" s="2" t="s">
        <v>44</v>
      </c>
      <c r="F71" s="2">
        <v>5</v>
      </c>
      <c r="G71" s="2">
        <v>644</v>
      </c>
      <c r="H71" t="str">
        <f>_xlfn.XLOOKUP(TRIM(E71),Product_List!A:A,Product_List!B:B)</f>
        <v>Electronics</v>
      </c>
      <c r="I71">
        <f>_xlfn.XLOOKUP(TRIM(E71),Product_List!A:A,Product_List!D:D)</f>
        <v>463</v>
      </c>
      <c r="J71">
        <f>_xlfn.XLOOKUP(TRIM(E71),Product_List!A:A,Product_List!E:E)</f>
        <v>0.23</v>
      </c>
      <c r="K71">
        <f t="shared" si="7"/>
        <v>3220</v>
      </c>
      <c r="L71">
        <f t="shared" si="8"/>
        <v>2479.4</v>
      </c>
      <c r="M71">
        <f t="shared" si="9"/>
        <v>45930</v>
      </c>
      <c r="N71">
        <f>_xlfn.XLOOKUP(M71,Finance_Data!A:A,Finance_Data!B:B)</f>
        <v>34260</v>
      </c>
      <c r="O71">
        <f t="shared" si="10"/>
        <v>7</v>
      </c>
      <c r="P71">
        <f t="shared" si="11"/>
        <v>4894.2857142857147</v>
      </c>
      <c r="Q71">
        <f t="shared" si="12"/>
        <v>-3989.2857142857147</v>
      </c>
      <c r="R71">
        <f t="shared" si="13"/>
        <v>31997</v>
      </c>
      <c r="S71" t="str" cm="1">
        <f t="array" ref="S71">_xlfn.IFS(R71&gt;50000,"VIP",R71&gt;=20000,"Regular",TRUE,"Low Value")</f>
        <v>Regular</v>
      </c>
      <c r="T71" t="str">
        <f>INDEX(Product_List!B:B,MATCH(E72,Product_List!A:A,0))</f>
        <v>Accessories</v>
      </c>
      <c r="U71">
        <f>_xlfn.XLOOKUP(A71,Operations_Data!A:A,Operations_Data!B:B)</f>
        <v>1</v>
      </c>
      <c r="W71">
        <f>_xlfn.XLOOKUP(A71,Operations_Data!A:A,Operations_Data!C:C)</f>
        <v>0.05</v>
      </c>
    </row>
    <row r="72" spans="1:23">
      <c r="A72" s="2" t="s">
        <v>115</v>
      </c>
      <c r="B72" s="4">
        <v>45897.155312499999</v>
      </c>
      <c r="C72" s="2" t="s">
        <v>4</v>
      </c>
      <c r="D72" s="2">
        <v>1002</v>
      </c>
      <c r="E72" s="2" t="s">
        <v>42</v>
      </c>
      <c r="F72" s="2">
        <v>2</v>
      </c>
      <c r="G72" s="2">
        <v>1265</v>
      </c>
      <c r="H72" t="str">
        <f>_xlfn.XLOOKUP(TRIM(E72),Product_List!A:A,Product_List!B:B)</f>
        <v>Accessories</v>
      </c>
      <c r="I72">
        <f>_xlfn.XLOOKUP(TRIM(E72),Product_List!A:A,Product_List!D:D)</f>
        <v>323</v>
      </c>
      <c r="J72">
        <f>_xlfn.XLOOKUP(TRIM(E72),Product_List!A:A,Product_List!E:E)</f>
        <v>0.1</v>
      </c>
      <c r="K72">
        <f t="shared" si="7"/>
        <v>2530</v>
      </c>
      <c r="L72">
        <f t="shared" si="8"/>
        <v>2277</v>
      </c>
      <c r="M72">
        <f t="shared" si="9"/>
        <v>45900</v>
      </c>
      <c r="N72">
        <f>_xlfn.XLOOKUP(M72,Finance_Data!A:A,Finance_Data!B:B)</f>
        <v>36734</v>
      </c>
      <c r="O72">
        <f t="shared" si="10"/>
        <v>11</v>
      </c>
      <c r="P72">
        <f t="shared" si="11"/>
        <v>3339.4545454545455</v>
      </c>
      <c r="Q72">
        <f t="shared" si="12"/>
        <v>-1455.4545454545455</v>
      </c>
      <c r="R72">
        <f t="shared" si="13"/>
        <v>14833</v>
      </c>
      <c r="S72" t="str" cm="1">
        <f t="array" ref="S72">_xlfn.IFS(R72&gt;50000,"VIP",R72&gt;=20000,"Regular",TRUE,"Low Value")</f>
        <v>Low Value</v>
      </c>
      <c r="T72" t="str">
        <f>INDEX(Product_List!B:B,MATCH(E73,Product_List!A:A,0))</f>
        <v>Electronics</v>
      </c>
      <c r="U72">
        <f>_xlfn.XLOOKUP(A72,Operations_Data!A:A,Operations_Data!B:B)</f>
        <v>6</v>
      </c>
      <c r="W72">
        <f>_xlfn.XLOOKUP(A72,Operations_Data!A:A,Operations_Data!C:C)</f>
        <v>0.05</v>
      </c>
    </row>
    <row r="73" spans="1:23">
      <c r="A73" s="2" t="s">
        <v>116</v>
      </c>
      <c r="B73" s="4">
        <v>45868.096215277779</v>
      </c>
      <c r="C73" s="2" t="s">
        <v>6</v>
      </c>
      <c r="D73" s="2">
        <v>1011</v>
      </c>
      <c r="E73" s="2" t="s">
        <v>40</v>
      </c>
      <c r="F73" s="2">
        <v>3</v>
      </c>
      <c r="G73" s="2">
        <v>1634</v>
      </c>
      <c r="H73" t="str">
        <f>_xlfn.XLOOKUP(TRIM(E73),Product_List!A:A,Product_List!B:B)</f>
        <v>Electronics</v>
      </c>
      <c r="I73">
        <f>_xlfn.XLOOKUP(TRIM(E73),Product_List!A:A,Product_List!D:D)</f>
        <v>492</v>
      </c>
      <c r="J73">
        <f>_xlfn.XLOOKUP(TRIM(E73),Product_List!A:A,Product_List!E:E)</f>
        <v>0.14000000000000001</v>
      </c>
      <c r="K73">
        <f t="shared" si="7"/>
        <v>4902</v>
      </c>
      <c r="L73">
        <f t="shared" si="8"/>
        <v>4215.72</v>
      </c>
      <c r="M73">
        <f t="shared" si="9"/>
        <v>45869</v>
      </c>
      <c r="N73">
        <f>_xlfn.XLOOKUP(M73,Finance_Data!A:A,Finance_Data!B:B)</f>
        <v>36304</v>
      </c>
      <c r="O73">
        <f t="shared" si="10"/>
        <v>12</v>
      </c>
      <c r="P73">
        <f t="shared" si="11"/>
        <v>3025.3333333333335</v>
      </c>
      <c r="Q73">
        <f t="shared" si="12"/>
        <v>400.66666666666652</v>
      </c>
      <c r="R73">
        <f t="shared" si="13"/>
        <v>17906</v>
      </c>
      <c r="S73" t="str" cm="1">
        <f t="array" ref="S73">_xlfn.IFS(R73&gt;50000,"VIP",R73&gt;=20000,"Regular",TRUE,"Low Value")</f>
        <v>Low Value</v>
      </c>
      <c r="T73" t="str">
        <f>INDEX(Product_List!B:B,MATCH(E74,Product_List!A:A,0))</f>
        <v>Office</v>
      </c>
      <c r="U73">
        <f>_xlfn.XLOOKUP(A73,Operations_Data!A:A,Operations_Data!B:B)</f>
        <v>7</v>
      </c>
      <c r="W73">
        <f>_xlfn.XLOOKUP(A73,Operations_Data!A:A,Operations_Data!C:C)</f>
        <v>0.09</v>
      </c>
    </row>
    <row r="74" spans="1:23">
      <c r="A74" s="2" t="s">
        <v>117</v>
      </c>
      <c r="B74" s="4">
        <v>45916.957511574074</v>
      </c>
      <c r="C74" s="2" t="s">
        <v>3</v>
      </c>
      <c r="D74" s="2">
        <v>1012</v>
      </c>
      <c r="E74" s="2" t="s">
        <v>53</v>
      </c>
      <c r="F74" s="2">
        <v>3</v>
      </c>
      <c r="G74" s="2">
        <v>144</v>
      </c>
      <c r="H74" t="str">
        <f>_xlfn.XLOOKUP(TRIM(E74),Product_List!A:A,Product_List!B:B)</f>
        <v>Office</v>
      </c>
      <c r="I74">
        <f>_xlfn.XLOOKUP(TRIM(E74),Product_List!A:A,Product_List!D:D)</f>
        <v>136</v>
      </c>
      <c r="J74">
        <f>_xlfn.XLOOKUP(TRIM(E74),Product_List!A:A,Product_List!E:E)</f>
        <v>0.1</v>
      </c>
      <c r="K74">
        <f t="shared" si="7"/>
        <v>432</v>
      </c>
      <c r="L74">
        <f t="shared" si="8"/>
        <v>388.8</v>
      </c>
      <c r="M74">
        <f t="shared" si="9"/>
        <v>45930</v>
      </c>
      <c r="N74">
        <f>_xlfn.XLOOKUP(M74,Finance_Data!A:A,Finance_Data!B:B)</f>
        <v>34260</v>
      </c>
      <c r="O74">
        <f t="shared" si="10"/>
        <v>7</v>
      </c>
      <c r="P74">
        <f t="shared" si="11"/>
        <v>4894.2857142857147</v>
      </c>
      <c r="Q74">
        <f t="shared" si="12"/>
        <v>-4870.2857142857147</v>
      </c>
      <c r="R74">
        <f t="shared" si="13"/>
        <v>8379</v>
      </c>
      <c r="S74" t="str" cm="1">
        <f t="array" ref="S74">_xlfn.IFS(R74&gt;50000,"VIP",R74&gt;=20000,"Regular",TRUE,"Low Value")</f>
        <v>Low Value</v>
      </c>
      <c r="T74" t="str">
        <f>INDEX(Product_List!B:B,MATCH(E75,Product_List!A:A,0))</f>
        <v>Electronics</v>
      </c>
      <c r="U74">
        <f>_xlfn.XLOOKUP(A74,Operations_Data!A:A,Operations_Data!B:B)</f>
        <v>7</v>
      </c>
      <c r="W74">
        <f>_xlfn.XLOOKUP(A74,Operations_Data!A:A,Operations_Data!C:C)</f>
        <v>7.0000000000000007E-2</v>
      </c>
    </row>
    <row r="75" spans="1:23">
      <c r="A75" s="2" t="s">
        <v>118</v>
      </c>
      <c r="B75" s="4">
        <v>45849.520115740743</v>
      </c>
      <c r="C75" s="2" t="s">
        <v>6</v>
      </c>
      <c r="D75" s="2">
        <v>1005</v>
      </c>
      <c r="E75" s="2" t="s">
        <v>40</v>
      </c>
      <c r="F75" s="2">
        <v>8</v>
      </c>
      <c r="G75" s="2">
        <v>1707</v>
      </c>
      <c r="H75" t="str">
        <f>_xlfn.XLOOKUP(TRIM(E75),Product_List!A:A,Product_List!B:B)</f>
        <v>Electronics</v>
      </c>
      <c r="I75">
        <f>_xlfn.XLOOKUP(TRIM(E75),Product_List!A:A,Product_List!D:D)</f>
        <v>492</v>
      </c>
      <c r="J75">
        <f>_xlfn.XLOOKUP(TRIM(E75),Product_List!A:A,Product_List!E:E)</f>
        <v>0.14000000000000001</v>
      </c>
      <c r="K75">
        <f t="shared" si="7"/>
        <v>13656</v>
      </c>
      <c r="L75">
        <f t="shared" si="8"/>
        <v>11744.16</v>
      </c>
      <c r="M75">
        <f t="shared" si="9"/>
        <v>45869</v>
      </c>
      <c r="N75">
        <f>_xlfn.XLOOKUP(M75,Finance_Data!A:A,Finance_Data!B:B)</f>
        <v>36304</v>
      </c>
      <c r="O75">
        <f t="shared" si="10"/>
        <v>12</v>
      </c>
      <c r="P75">
        <f t="shared" si="11"/>
        <v>3025.3333333333335</v>
      </c>
      <c r="Q75">
        <f t="shared" si="12"/>
        <v>6694.6666666666661</v>
      </c>
      <c r="R75">
        <f t="shared" si="13"/>
        <v>24821</v>
      </c>
      <c r="S75" t="str" cm="1">
        <f t="array" ref="S75">_xlfn.IFS(R75&gt;50000,"VIP",R75&gt;=20000,"Regular",TRUE,"Low Value")</f>
        <v>Regular</v>
      </c>
      <c r="T75" t="str">
        <f>INDEX(Product_List!B:B,MATCH(E76,Product_List!A:A,0))</f>
        <v>Electronics</v>
      </c>
      <c r="U75">
        <f>_xlfn.XLOOKUP(A75,Operations_Data!A:A,Operations_Data!B:B)</f>
        <v>6</v>
      </c>
      <c r="W75">
        <f>_xlfn.XLOOKUP(A75,Operations_Data!A:A,Operations_Data!C:C)</f>
        <v>0.08</v>
      </c>
    </row>
    <row r="76" spans="1:23">
      <c r="A76" s="2" t="s">
        <v>119</v>
      </c>
      <c r="B76" s="4">
        <v>45873.09915509259</v>
      </c>
      <c r="C76" s="2" t="s">
        <v>4</v>
      </c>
      <c r="D76" s="2">
        <v>1004</v>
      </c>
      <c r="E76" s="2" t="s">
        <v>48</v>
      </c>
      <c r="F76" s="2">
        <v>4</v>
      </c>
      <c r="G76" s="2">
        <v>960</v>
      </c>
      <c r="H76" t="str">
        <f>_xlfn.XLOOKUP(TRIM(E76),Product_List!A:A,Product_List!B:B)</f>
        <v>Electronics</v>
      </c>
      <c r="I76">
        <f>_xlfn.XLOOKUP(TRIM(E76),Product_List!A:A,Product_List!D:D)</f>
        <v>469</v>
      </c>
      <c r="J76">
        <f>_xlfn.XLOOKUP(TRIM(E76),Product_List!A:A,Product_List!E:E)</f>
        <v>0.22</v>
      </c>
      <c r="K76">
        <f t="shared" si="7"/>
        <v>3840</v>
      </c>
      <c r="L76">
        <f t="shared" si="8"/>
        <v>2995.2000000000003</v>
      </c>
      <c r="M76">
        <f t="shared" si="9"/>
        <v>45900</v>
      </c>
      <c r="N76">
        <f>_xlfn.XLOOKUP(M76,Finance_Data!A:A,Finance_Data!B:B)</f>
        <v>36734</v>
      </c>
      <c r="O76">
        <f t="shared" si="10"/>
        <v>11</v>
      </c>
      <c r="P76">
        <f t="shared" si="11"/>
        <v>3339.4545454545455</v>
      </c>
      <c r="Q76">
        <f t="shared" si="12"/>
        <v>-1375.4545454545455</v>
      </c>
      <c r="R76">
        <f t="shared" si="13"/>
        <v>8004</v>
      </c>
      <c r="S76" t="str" cm="1">
        <f t="array" ref="S76">_xlfn.IFS(R76&gt;50000,"VIP",R76&gt;=20000,"Regular",TRUE,"Low Value")</f>
        <v>Low Value</v>
      </c>
      <c r="T76" t="str">
        <f>INDEX(Product_List!B:B,MATCH(E77,Product_List!A:A,0))</f>
        <v>Electronics</v>
      </c>
      <c r="U76">
        <f>_xlfn.XLOOKUP(A76,Operations_Data!A:A,Operations_Data!B:B)</f>
        <v>7</v>
      </c>
      <c r="W76">
        <f>_xlfn.XLOOKUP(A76,Operations_Data!A:A,Operations_Data!C:C)</f>
        <v>0.04</v>
      </c>
    </row>
    <row r="77" spans="1:23">
      <c r="A77" s="2" t="s">
        <v>120</v>
      </c>
      <c r="B77" s="4">
        <v>45926.222662037035</v>
      </c>
      <c r="C77" s="2" t="s">
        <v>6</v>
      </c>
      <c r="D77" s="2">
        <v>1017</v>
      </c>
      <c r="E77" s="2" t="s">
        <v>48</v>
      </c>
      <c r="F77" s="2">
        <v>5</v>
      </c>
      <c r="G77" s="2">
        <v>1416</v>
      </c>
      <c r="H77" t="str">
        <f>_xlfn.XLOOKUP(TRIM(E77),Product_List!A:A,Product_List!B:B)</f>
        <v>Electronics</v>
      </c>
      <c r="I77">
        <f>_xlfn.XLOOKUP(TRIM(E77),Product_List!A:A,Product_List!D:D)</f>
        <v>469</v>
      </c>
      <c r="J77">
        <f>_xlfn.XLOOKUP(TRIM(E77),Product_List!A:A,Product_List!E:E)</f>
        <v>0.22</v>
      </c>
      <c r="K77">
        <f t="shared" si="7"/>
        <v>7080</v>
      </c>
      <c r="L77">
        <f t="shared" si="8"/>
        <v>5522.4000000000005</v>
      </c>
      <c r="M77">
        <f t="shared" si="9"/>
        <v>45930</v>
      </c>
      <c r="N77">
        <f>_xlfn.XLOOKUP(M77,Finance_Data!A:A,Finance_Data!B:B)</f>
        <v>34260</v>
      </c>
      <c r="O77">
        <f t="shared" si="10"/>
        <v>7</v>
      </c>
      <c r="P77">
        <f t="shared" si="11"/>
        <v>4894.2857142857147</v>
      </c>
      <c r="Q77">
        <f t="shared" si="12"/>
        <v>-159.28571428571468</v>
      </c>
      <c r="R77">
        <f t="shared" si="13"/>
        <v>38912</v>
      </c>
      <c r="S77" t="str" cm="1">
        <f t="array" ref="S77">_xlfn.IFS(R77&gt;50000,"VIP",R77&gt;=20000,"Regular",TRUE,"Low Value")</f>
        <v>Regular</v>
      </c>
      <c r="T77" t="str">
        <f>INDEX(Product_List!B:B,MATCH(E78,Product_List!A:A,0))</f>
        <v>Office</v>
      </c>
      <c r="U77">
        <f>_xlfn.XLOOKUP(A77,Operations_Data!A:A,Operations_Data!B:B)</f>
        <v>5</v>
      </c>
      <c r="W77">
        <f>_xlfn.XLOOKUP(A77,Operations_Data!A:A,Operations_Data!C:C)</f>
        <v>0.03</v>
      </c>
    </row>
    <row r="78" spans="1:23">
      <c r="A78" s="2" t="s">
        <v>121</v>
      </c>
      <c r="B78" s="4">
        <v>45906.44259259259</v>
      </c>
      <c r="C78" s="2" t="s">
        <v>5</v>
      </c>
      <c r="D78" s="2">
        <v>1017</v>
      </c>
      <c r="E78" s="2" t="s">
        <v>53</v>
      </c>
      <c r="F78" s="2">
        <v>2</v>
      </c>
      <c r="G78" s="2">
        <v>300</v>
      </c>
      <c r="H78" t="str">
        <f>_xlfn.XLOOKUP(TRIM(E78),Product_List!A:A,Product_List!B:B)</f>
        <v>Office</v>
      </c>
      <c r="I78">
        <f>_xlfn.XLOOKUP(TRIM(E78),Product_List!A:A,Product_List!D:D)</f>
        <v>136</v>
      </c>
      <c r="J78">
        <f>_xlfn.XLOOKUP(TRIM(E78),Product_List!A:A,Product_List!E:E)</f>
        <v>0.1</v>
      </c>
      <c r="K78">
        <f t="shared" si="7"/>
        <v>600</v>
      </c>
      <c r="L78">
        <f t="shared" si="8"/>
        <v>540</v>
      </c>
      <c r="M78">
        <f t="shared" si="9"/>
        <v>45930</v>
      </c>
      <c r="N78">
        <f>_xlfn.XLOOKUP(M78,Finance_Data!A:A,Finance_Data!B:B)</f>
        <v>34260</v>
      </c>
      <c r="O78">
        <f t="shared" si="10"/>
        <v>7</v>
      </c>
      <c r="P78">
        <f t="shared" si="11"/>
        <v>4894.2857142857147</v>
      </c>
      <c r="Q78">
        <f t="shared" si="12"/>
        <v>-4566.2857142857147</v>
      </c>
      <c r="R78">
        <f t="shared" si="13"/>
        <v>38912</v>
      </c>
      <c r="S78" t="str" cm="1">
        <f t="array" ref="S78">_xlfn.IFS(R78&gt;50000,"VIP",R78&gt;=20000,"Regular",TRUE,"Low Value")</f>
        <v>Regular</v>
      </c>
      <c r="T78" t="str">
        <f>INDEX(Product_List!B:B,MATCH(E79,Product_List!A:A,0))</f>
        <v>Electronics</v>
      </c>
      <c r="U78">
        <f>_xlfn.XLOOKUP(A78,Operations_Data!A:A,Operations_Data!B:B)</f>
        <v>8</v>
      </c>
      <c r="W78">
        <f>_xlfn.XLOOKUP(A78,Operations_Data!A:A,Operations_Data!C:C)</f>
        <v>7.0000000000000007E-2</v>
      </c>
    </row>
    <row r="79" spans="1:23">
      <c r="A79" s="2" t="s">
        <v>122</v>
      </c>
      <c r="B79" s="4">
        <v>45911.789861111109</v>
      </c>
      <c r="C79" s="2" t="s">
        <v>6</v>
      </c>
      <c r="D79" s="2">
        <v>1001</v>
      </c>
      <c r="E79" s="2" t="s">
        <v>48</v>
      </c>
      <c r="F79" s="2">
        <v>7</v>
      </c>
      <c r="G79" s="2">
        <v>608</v>
      </c>
      <c r="H79" t="str">
        <f>_xlfn.XLOOKUP(TRIM(E79),Product_List!A:A,Product_List!B:B)</f>
        <v>Electronics</v>
      </c>
      <c r="I79">
        <f>_xlfn.XLOOKUP(TRIM(E79),Product_List!A:A,Product_List!D:D)</f>
        <v>469</v>
      </c>
      <c r="J79">
        <f>_xlfn.XLOOKUP(TRIM(E79),Product_List!A:A,Product_List!E:E)</f>
        <v>0.22</v>
      </c>
      <c r="K79">
        <f t="shared" si="7"/>
        <v>4256</v>
      </c>
      <c r="L79">
        <f t="shared" si="8"/>
        <v>3319.6800000000003</v>
      </c>
      <c r="M79">
        <f t="shared" si="9"/>
        <v>45930</v>
      </c>
      <c r="N79">
        <f>_xlfn.XLOOKUP(M79,Finance_Data!A:A,Finance_Data!B:B)</f>
        <v>34260</v>
      </c>
      <c r="O79">
        <f t="shared" si="10"/>
        <v>7</v>
      </c>
      <c r="P79">
        <f t="shared" si="11"/>
        <v>4894.2857142857147</v>
      </c>
      <c r="Q79">
        <f t="shared" si="12"/>
        <v>-3921.2857142857147</v>
      </c>
      <c r="R79">
        <f t="shared" si="13"/>
        <v>23279</v>
      </c>
      <c r="S79" t="str" cm="1">
        <f t="array" ref="S79">_xlfn.IFS(R79&gt;50000,"VIP",R79&gt;=20000,"Regular",TRUE,"Low Value")</f>
        <v>Regular</v>
      </c>
      <c r="T79" t="str">
        <f>INDEX(Product_List!B:B,MATCH(E80,Product_List!A:A,0))</f>
        <v>Electronics</v>
      </c>
      <c r="U79">
        <f>_xlfn.XLOOKUP(A79,Operations_Data!A:A,Operations_Data!B:B)</f>
        <v>4</v>
      </c>
      <c r="W79">
        <f>_xlfn.XLOOKUP(A79,Operations_Data!A:A,Operations_Data!C:C)</f>
        <v>7.0000000000000007E-2</v>
      </c>
    </row>
    <row r="80" spans="1:23">
      <c r="A80" s="2" t="s">
        <v>123</v>
      </c>
      <c r="B80" s="4">
        <v>45867.799027777779</v>
      </c>
      <c r="C80" s="2" t="s">
        <v>6</v>
      </c>
      <c r="D80" s="2">
        <v>1017</v>
      </c>
      <c r="E80" s="2" t="s">
        <v>48</v>
      </c>
      <c r="F80" s="2">
        <v>8</v>
      </c>
      <c r="G80" s="2">
        <v>1150</v>
      </c>
      <c r="H80" t="str">
        <f>_xlfn.XLOOKUP(TRIM(E80),Product_List!A:A,Product_List!B:B)</f>
        <v>Electronics</v>
      </c>
      <c r="I80">
        <f>_xlfn.XLOOKUP(TRIM(E80),Product_List!A:A,Product_List!D:D)</f>
        <v>469</v>
      </c>
      <c r="J80">
        <f>_xlfn.XLOOKUP(TRIM(E80),Product_List!A:A,Product_List!E:E)</f>
        <v>0.22</v>
      </c>
      <c r="K80">
        <f t="shared" si="7"/>
        <v>9200</v>
      </c>
      <c r="L80">
        <f t="shared" si="8"/>
        <v>7176</v>
      </c>
      <c r="M80">
        <f t="shared" si="9"/>
        <v>45869</v>
      </c>
      <c r="N80">
        <f>_xlfn.XLOOKUP(M80,Finance_Data!A:A,Finance_Data!B:B)</f>
        <v>36304</v>
      </c>
      <c r="O80">
        <f t="shared" si="10"/>
        <v>12</v>
      </c>
      <c r="P80">
        <f t="shared" si="11"/>
        <v>3025.3333333333335</v>
      </c>
      <c r="Q80">
        <f t="shared" si="12"/>
        <v>2422.6666666666665</v>
      </c>
      <c r="R80">
        <f t="shared" si="13"/>
        <v>38912</v>
      </c>
      <c r="S80" t="str" cm="1">
        <f t="array" ref="S80">_xlfn.IFS(R80&gt;50000,"VIP",R80&gt;=20000,"Regular",TRUE,"Low Value")</f>
        <v>Regular</v>
      </c>
      <c r="T80" t="str">
        <f>INDEX(Product_List!B:B,MATCH(E81,Product_List!A:A,0))</f>
        <v>Electronics</v>
      </c>
      <c r="U80">
        <f>_xlfn.XLOOKUP(A80,Operations_Data!A:A,Operations_Data!B:B)</f>
        <v>3</v>
      </c>
      <c r="W80">
        <f>_xlfn.XLOOKUP(A80,Operations_Data!A:A,Operations_Data!C:C)</f>
        <v>0.01</v>
      </c>
    </row>
    <row r="81" spans="1:23">
      <c r="A81" s="2" t="s">
        <v>124</v>
      </c>
      <c r="B81" s="4">
        <v>45880.701817129629</v>
      </c>
      <c r="C81" s="2" t="s">
        <v>4</v>
      </c>
      <c r="D81" s="2">
        <v>1019</v>
      </c>
      <c r="E81" s="2" t="s">
        <v>40</v>
      </c>
      <c r="F81" s="2">
        <v>2</v>
      </c>
      <c r="G81" s="2">
        <v>508</v>
      </c>
      <c r="H81" t="str">
        <f>_xlfn.XLOOKUP(TRIM(E81),Product_List!A:A,Product_List!B:B)</f>
        <v>Electronics</v>
      </c>
      <c r="I81">
        <f>_xlfn.XLOOKUP(TRIM(E81),Product_List!A:A,Product_List!D:D)</f>
        <v>492</v>
      </c>
      <c r="J81">
        <f>_xlfn.XLOOKUP(TRIM(E81),Product_List!A:A,Product_List!E:E)</f>
        <v>0.14000000000000001</v>
      </c>
      <c r="K81">
        <f t="shared" si="7"/>
        <v>1016</v>
      </c>
      <c r="L81">
        <f t="shared" si="8"/>
        <v>873.76</v>
      </c>
      <c r="M81">
        <f t="shared" si="9"/>
        <v>45900</v>
      </c>
      <c r="N81">
        <f>_xlfn.XLOOKUP(M81,Finance_Data!A:A,Finance_Data!B:B)</f>
        <v>36734</v>
      </c>
      <c r="O81">
        <f t="shared" si="10"/>
        <v>11</v>
      </c>
      <c r="P81">
        <f t="shared" si="11"/>
        <v>3339.4545454545455</v>
      </c>
      <c r="Q81">
        <f t="shared" si="12"/>
        <v>-3307.4545454545455</v>
      </c>
      <c r="R81">
        <f t="shared" si="13"/>
        <v>20633</v>
      </c>
      <c r="S81" t="str" cm="1">
        <f t="array" ref="S81">_xlfn.IFS(R81&gt;50000,"VIP",R81&gt;=20000,"Regular",TRUE,"Low Value")</f>
        <v>Regular</v>
      </c>
      <c r="T81" t="str">
        <f>INDEX(Product_List!B:B,MATCH(E82,Product_List!A:A,0))</f>
        <v>Electronics</v>
      </c>
      <c r="U81">
        <f>_xlfn.XLOOKUP(A81,Operations_Data!A:A,Operations_Data!B:B)</f>
        <v>4</v>
      </c>
      <c r="W81">
        <f>_xlfn.XLOOKUP(A81,Operations_Data!A:A,Operations_Data!C:C)</f>
        <v>0.01</v>
      </c>
    </row>
    <row r="82" spans="1:23">
      <c r="A82" s="2" t="s">
        <v>125</v>
      </c>
      <c r="B82" s="4">
        <v>45926.246377314812</v>
      </c>
      <c r="C82" s="2" t="s">
        <v>5</v>
      </c>
      <c r="D82" s="2">
        <v>1019</v>
      </c>
      <c r="E82" s="2" t="s">
        <v>40</v>
      </c>
      <c r="F82" s="2">
        <v>1</v>
      </c>
      <c r="G82" s="2">
        <v>1272</v>
      </c>
      <c r="H82" t="str">
        <f>_xlfn.XLOOKUP(TRIM(E82),Product_List!A:A,Product_List!B:B)</f>
        <v>Electronics</v>
      </c>
      <c r="I82">
        <f>_xlfn.XLOOKUP(TRIM(E82),Product_List!A:A,Product_List!D:D)</f>
        <v>492</v>
      </c>
      <c r="J82">
        <f>_xlfn.XLOOKUP(TRIM(E82),Product_List!A:A,Product_List!E:E)</f>
        <v>0.14000000000000001</v>
      </c>
      <c r="K82">
        <f t="shared" si="7"/>
        <v>1272</v>
      </c>
      <c r="L82">
        <f t="shared" si="8"/>
        <v>1093.92</v>
      </c>
      <c r="M82">
        <f t="shared" si="9"/>
        <v>45930</v>
      </c>
      <c r="N82">
        <f>_xlfn.XLOOKUP(M82,Finance_Data!A:A,Finance_Data!B:B)</f>
        <v>34260</v>
      </c>
      <c r="O82">
        <f t="shared" si="10"/>
        <v>7</v>
      </c>
      <c r="P82">
        <f t="shared" si="11"/>
        <v>4894.2857142857147</v>
      </c>
      <c r="Q82">
        <f t="shared" si="12"/>
        <v>-4114.2857142857147</v>
      </c>
      <c r="R82">
        <f t="shared" si="13"/>
        <v>20633</v>
      </c>
      <c r="S82" t="str" cm="1">
        <f t="array" ref="S82">_xlfn.IFS(R82&gt;50000,"VIP",R82&gt;=20000,"Regular",TRUE,"Low Value")</f>
        <v>Regular</v>
      </c>
      <c r="T82" t="str">
        <f>INDEX(Product_List!B:B,MATCH(E83,Product_List!A:A,0))</f>
        <v>Electronics</v>
      </c>
      <c r="U82">
        <f>_xlfn.XLOOKUP(A82,Operations_Data!A:A,Operations_Data!B:B)</f>
        <v>9</v>
      </c>
      <c r="W82">
        <f>_xlfn.XLOOKUP(A82,Operations_Data!A:A,Operations_Data!C:C)</f>
        <v>0.05</v>
      </c>
    </row>
    <row r="83" spans="1:23">
      <c r="A83" s="2" t="s">
        <v>126</v>
      </c>
      <c r="B83" s="4">
        <v>45841.351273148146</v>
      </c>
      <c r="C83" s="2" t="s">
        <v>4</v>
      </c>
      <c r="D83" s="2">
        <v>1012</v>
      </c>
      <c r="E83" s="2" t="s">
        <v>44</v>
      </c>
      <c r="F83" s="2">
        <v>1</v>
      </c>
      <c r="G83" s="2">
        <v>1186</v>
      </c>
      <c r="H83" t="str">
        <f>_xlfn.XLOOKUP(TRIM(E83),Product_List!A:A,Product_List!B:B)</f>
        <v>Electronics</v>
      </c>
      <c r="I83">
        <f>_xlfn.XLOOKUP(TRIM(E83),Product_List!A:A,Product_List!D:D)</f>
        <v>463</v>
      </c>
      <c r="J83">
        <f>_xlfn.XLOOKUP(TRIM(E83),Product_List!A:A,Product_List!E:E)</f>
        <v>0.23</v>
      </c>
      <c r="K83">
        <f t="shared" si="7"/>
        <v>1186</v>
      </c>
      <c r="L83">
        <f t="shared" si="8"/>
        <v>913.22</v>
      </c>
      <c r="M83">
        <f t="shared" si="9"/>
        <v>45869</v>
      </c>
      <c r="N83">
        <f>_xlfn.XLOOKUP(M83,Finance_Data!A:A,Finance_Data!B:B)</f>
        <v>36304</v>
      </c>
      <c r="O83">
        <f t="shared" si="10"/>
        <v>12</v>
      </c>
      <c r="P83">
        <f t="shared" si="11"/>
        <v>3025.3333333333335</v>
      </c>
      <c r="Q83">
        <f t="shared" si="12"/>
        <v>-2302.3333333333335</v>
      </c>
      <c r="R83">
        <f t="shared" si="13"/>
        <v>8379</v>
      </c>
      <c r="S83" t="str" cm="1">
        <f t="array" ref="S83">_xlfn.IFS(R83&gt;50000,"VIP",R83&gt;=20000,"Regular",TRUE,"Low Value")</f>
        <v>Low Value</v>
      </c>
      <c r="T83" t="str">
        <f>INDEX(Product_List!B:B,MATCH(E84,Product_List!A:A,0))</f>
        <v>Electronics</v>
      </c>
      <c r="U83">
        <f>_xlfn.XLOOKUP(A83,Operations_Data!A:A,Operations_Data!B:B)</f>
        <v>8</v>
      </c>
      <c r="W83">
        <f>_xlfn.XLOOKUP(A83,Operations_Data!A:A,Operations_Data!C:C)</f>
        <v>0.02</v>
      </c>
    </row>
    <row r="84" spans="1:23">
      <c r="A84" s="2" t="s">
        <v>127</v>
      </c>
      <c r="B84" s="4">
        <v>45874.122870370367</v>
      </c>
      <c r="C84" s="2" t="s">
        <v>3</v>
      </c>
      <c r="D84" s="2">
        <v>1001</v>
      </c>
      <c r="E84" s="2" t="s">
        <v>48</v>
      </c>
      <c r="F84" s="2">
        <v>6</v>
      </c>
      <c r="G84" s="2">
        <v>272</v>
      </c>
      <c r="H84" t="str">
        <f>_xlfn.XLOOKUP(TRIM(E84),Product_List!A:A,Product_List!B:B)</f>
        <v>Electronics</v>
      </c>
      <c r="I84">
        <f>_xlfn.XLOOKUP(TRIM(E84),Product_List!A:A,Product_List!D:D)</f>
        <v>469</v>
      </c>
      <c r="J84">
        <f>_xlfn.XLOOKUP(TRIM(E84),Product_List!A:A,Product_List!E:E)</f>
        <v>0.22</v>
      </c>
      <c r="K84">
        <f t="shared" si="7"/>
        <v>1632</v>
      </c>
      <c r="L84">
        <f t="shared" si="8"/>
        <v>1272.96</v>
      </c>
      <c r="M84">
        <f t="shared" si="9"/>
        <v>45900</v>
      </c>
      <c r="N84">
        <f>_xlfn.XLOOKUP(M84,Finance_Data!A:A,Finance_Data!B:B)</f>
        <v>36734</v>
      </c>
      <c r="O84">
        <f t="shared" si="10"/>
        <v>11</v>
      </c>
      <c r="P84">
        <f t="shared" si="11"/>
        <v>3339.4545454545455</v>
      </c>
      <c r="Q84">
        <f t="shared" si="12"/>
        <v>-4521.454545454546</v>
      </c>
      <c r="R84">
        <f t="shared" si="13"/>
        <v>23279</v>
      </c>
      <c r="S84" t="str" cm="1">
        <f t="array" ref="S84">_xlfn.IFS(R84&gt;50000,"VIP",R84&gt;=20000,"Regular",TRUE,"Low Value")</f>
        <v>Regular</v>
      </c>
      <c r="T84" t="str">
        <f>INDEX(Product_List!B:B,MATCH(E85,Product_List!A:A,0))</f>
        <v>Accessories</v>
      </c>
      <c r="U84">
        <f>_xlfn.XLOOKUP(A84,Operations_Data!A:A,Operations_Data!B:B)</f>
        <v>2</v>
      </c>
      <c r="W84">
        <f>_xlfn.XLOOKUP(A84,Operations_Data!A:A,Operations_Data!C:C)</f>
        <v>0.1</v>
      </c>
    </row>
    <row r="85" spans="1:23">
      <c r="A85" s="2" t="s">
        <v>128</v>
      </c>
      <c r="B85" s="4">
        <v>45875.450671296298</v>
      </c>
      <c r="C85" s="2" t="s">
        <v>5</v>
      </c>
      <c r="D85" s="2">
        <v>1014</v>
      </c>
      <c r="E85" s="2" t="s">
        <v>42</v>
      </c>
      <c r="F85" s="2">
        <v>9</v>
      </c>
      <c r="G85" s="2">
        <v>1794</v>
      </c>
      <c r="H85" t="str">
        <f>_xlfn.XLOOKUP(TRIM(E85),Product_List!A:A,Product_List!B:B)</f>
        <v>Accessories</v>
      </c>
      <c r="I85">
        <f>_xlfn.XLOOKUP(TRIM(E85),Product_List!A:A,Product_List!D:D)</f>
        <v>323</v>
      </c>
      <c r="J85">
        <f>_xlfn.XLOOKUP(TRIM(E85),Product_List!A:A,Product_List!E:E)</f>
        <v>0.1</v>
      </c>
      <c r="K85">
        <f t="shared" si="7"/>
        <v>16146</v>
      </c>
      <c r="L85">
        <f t="shared" si="8"/>
        <v>14531.4</v>
      </c>
      <c r="M85">
        <f t="shared" si="9"/>
        <v>45900</v>
      </c>
      <c r="N85">
        <f>_xlfn.XLOOKUP(M85,Finance_Data!A:A,Finance_Data!B:B)</f>
        <v>36734</v>
      </c>
      <c r="O85">
        <f t="shared" si="10"/>
        <v>11</v>
      </c>
      <c r="P85">
        <f t="shared" si="11"/>
        <v>3339.4545454545455</v>
      </c>
      <c r="Q85">
        <f t="shared" si="12"/>
        <v>9899.545454545454</v>
      </c>
      <c r="R85">
        <f t="shared" si="13"/>
        <v>31571</v>
      </c>
      <c r="S85" t="str" cm="1">
        <f t="array" ref="S85">_xlfn.IFS(R85&gt;50000,"VIP",R85&gt;=20000,"Regular",TRUE,"Low Value")</f>
        <v>Regular</v>
      </c>
      <c r="T85" t="str">
        <f>INDEX(Product_List!B:B,MATCH(E86,Product_List!A:A,0))</f>
        <v>Electronics</v>
      </c>
      <c r="U85">
        <f>_xlfn.XLOOKUP(A85,Operations_Data!A:A,Operations_Data!B:B)</f>
        <v>6</v>
      </c>
      <c r="W85">
        <f>_xlfn.XLOOKUP(A85,Operations_Data!A:A,Operations_Data!C:C)</f>
        <v>0.08</v>
      </c>
    </row>
    <row r="86" spans="1:23">
      <c r="A86" s="2" t="s">
        <v>129</v>
      </c>
      <c r="B86" s="4">
        <v>45895.845381944448</v>
      </c>
      <c r="C86" s="2" t="s">
        <v>5</v>
      </c>
      <c r="D86" s="2">
        <v>1006</v>
      </c>
      <c r="E86" s="2" t="s">
        <v>44</v>
      </c>
      <c r="F86" s="2">
        <v>5</v>
      </c>
      <c r="G86" s="2">
        <v>757</v>
      </c>
      <c r="H86" t="str">
        <f>_xlfn.XLOOKUP(TRIM(E86),Product_List!A:A,Product_List!B:B)</f>
        <v>Electronics</v>
      </c>
      <c r="I86">
        <f>_xlfn.XLOOKUP(TRIM(E86),Product_List!A:A,Product_List!D:D)</f>
        <v>463</v>
      </c>
      <c r="J86">
        <f>_xlfn.XLOOKUP(TRIM(E86),Product_List!A:A,Product_List!E:E)</f>
        <v>0.23</v>
      </c>
      <c r="K86">
        <f t="shared" si="7"/>
        <v>3785</v>
      </c>
      <c r="L86">
        <f t="shared" si="8"/>
        <v>2914.4500000000003</v>
      </c>
      <c r="M86">
        <f t="shared" si="9"/>
        <v>45900</v>
      </c>
      <c r="N86">
        <f>_xlfn.XLOOKUP(M86,Finance_Data!A:A,Finance_Data!B:B)</f>
        <v>36734</v>
      </c>
      <c r="O86">
        <f t="shared" si="10"/>
        <v>11</v>
      </c>
      <c r="P86">
        <f t="shared" si="11"/>
        <v>3339.4545454545455</v>
      </c>
      <c r="Q86">
        <f t="shared" si="12"/>
        <v>-1869.4545454545455</v>
      </c>
      <c r="R86">
        <f t="shared" si="13"/>
        <v>34295</v>
      </c>
      <c r="S86" t="str" cm="1">
        <f t="array" ref="S86">_xlfn.IFS(R86&gt;50000,"VIP",R86&gt;=20000,"Regular",TRUE,"Low Value")</f>
        <v>Regular</v>
      </c>
      <c r="T86" t="str">
        <f>INDEX(Product_List!B:B,MATCH(E87,Product_List!A:A,0))</f>
        <v>Electronics</v>
      </c>
      <c r="U86">
        <f>_xlfn.XLOOKUP(A86,Operations_Data!A:A,Operations_Data!B:B)</f>
        <v>4</v>
      </c>
      <c r="W86">
        <f>_xlfn.XLOOKUP(A86,Operations_Data!A:A,Operations_Data!C:C)</f>
        <v>0.05</v>
      </c>
    </row>
    <row r="87" spans="1:23">
      <c r="A87" s="2" t="s">
        <v>130</v>
      </c>
      <c r="B87" s="4">
        <v>45858.359560185185</v>
      </c>
      <c r="C87" s="2" t="s">
        <v>6</v>
      </c>
      <c r="D87" s="2">
        <v>1017</v>
      </c>
      <c r="E87" s="2" t="s">
        <v>46</v>
      </c>
      <c r="F87" s="2">
        <v>9</v>
      </c>
      <c r="G87" s="2">
        <v>472</v>
      </c>
      <c r="H87" t="str">
        <f>_xlfn.XLOOKUP(TRIM(E87),Product_List!A:A,Product_List!B:B)</f>
        <v>Electronics</v>
      </c>
      <c r="I87">
        <f>_xlfn.XLOOKUP(TRIM(E87),Product_List!A:A,Product_List!D:D)</f>
        <v>97</v>
      </c>
      <c r="J87">
        <f>_xlfn.XLOOKUP(TRIM(E87),Product_List!A:A,Product_List!E:E)</f>
        <v>0.08</v>
      </c>
      <c r="K87">
        <f t="shared" si="7"/>
        <v>4248</v>
      </c>
      <c r="L87">
        <f t="shared" si="8"/>
        <v>3908.1600000000003</v>
      </c>
      <c r="M87">
        <f t="shared" si="9"/>
        <v>45869</v>
      </c>
      <c r="N87">
        <f>_xlfn.XLOOKUP(M87,Finance_Data!A:A,Finance_Data!B:B)</f>
        <v>36304</v>
      </c>
      <c r="O87">
        <f t="shared" si="10"/>
        <v>12</v>
      </c>
      <c r="P87">
        <f t="shared" si="11"/>
        <v>3025.3333333333335</v>
      </c>
      <c r="Q87">
        <f t="shared" si="12"/>
        <v>349.66666666666652</v>
      </c>
      <c r="R87">
        <f t="shared" si="13"/>
        <v>38912</v>
      </c>
      <c r="S87" t="str" cm="1">
        <f t="array" ref="S87">_xlfn.IFS(R87&gt;50000,"VIP",R87&gt;=20000,"Regular",TRUE,"Low Value")</f>
        <v>Regular</v>
      </c>
      <c r="T87" t="str">
        <f>INDEX(Product_List!B:B,MATCH(E88,Product_List!A:A,0))</f>
        <v>Electronics</v>
      </c>
      <c r="U87">
        <f>_xlfn.XLOOKUP(A87,Operations_Data!A:A,Operations_Data!B:B)</f>
        <v>1</v>
      </c>
      <c r="W87">
        <f>_xlfn.XLOOKUP(A87,Operations_Data!A:A,Operations_Data!C:C)</f>
        <v>0.02</v>
      </c>
    </row>
    <row r="88" spans="1:23">
      <c r="A88" s="2" t="s">
        <v>131</v>
      </c>
      <c r="B88" s="4">
        <v>45862.545439814814</v>
      </c>
      <c r="C88" s="2" t="s">
        <v>3</v>
      </c>
      <c r="D88" s="2">
        <v>1002</v>
      </c>
      <c r="E88" s="2" t="s">
        <v>48</v>
      </c>
      <c r="F88" s="2">
        <v>9</v>
      </c>
      <c r="G88" s="2">
        <v>132</v>
      </c>
      <c r="H88" t="str">
        <f>_xlfn.XLOOKUP(TRIM(E88),Product_List!A:A,Product_List!B:B)</f>
        <v>Electronics</v>
      </c>
      <c r="I88">
        <f>_xlfn.XLOOKUP(TRIM(E88),Product_List!A:A,Product_List!D:D)</f>
        <v>469</v>
      </c>
      <c r="J88">
        <f>_xlfn.XLOOKUP(TRIM(E88),Product_List!A:A,Product_List!E:E)</f>
        <v>0.22</v>
      </c>
      <c r="K88">
        <f t="shared" si="7"/>
        <v>1188</v>
      </c>
      <c r="L88">
        <f t="shared" si="8"/>
        <v>926.64</v>
      </c>
      <c r="M88">
        <f t="shared" si="9"/>
        <v>45869</v>
      </c>
      <c r="N88">
        <f>_xlfn.XLOOKUP(M88,Finance_Data!A:A,Finance_Data!B:B)</f>
        <v>36304</v>
      </c>
      <c r="O88">
        <f t="shared" si="10"/>
        <v>12</v>
      </c>
      <c r="P88">
        <f t="shared" si="11"/>
        <v>3025.3333333333335</v>
      </c>
      <c r="Q88">
        <f t="shared" si="12"/>
        <v>-6058.3333333333339</v>
      </c>
      <c r="R88">
        <f t="shared" si="13"/>
        <v>14833</v>
      </c>
      <c r="S88" t="str" cm="1">
        <f t="array" ref="S88">_xlfn.IFS(R88&gt;50000,"VIP",R88&gt;=20000,"Regular",TRUE,"Low Value")</f>
        <v>Low Value</v>
      </c>
      <c r="T88" t="str">
        <f>INDEX(Product_List!B:B,MATCH(E89,Product_List!A:A,0))</f>
        <v>Electronics</v>
      </c>
      <c r="U88">
        <f>_xlfn.XLOOKUP(A88,Operations_Data!A:A,Operations_Data!B:B)</f>
        <v>7</v>
      </c>
      <c r="W88">
        <f>_xlfn.XLOOKUP(A88,Operations_Data!A:A,Operations_Data!C:C)</f>
        <v>0.01</v>
      </c>
    </row>
    <row r="89" spans="1:23">
      <c r="A89" s="2" t="s">
        <v>132</v>
      </c>
      <c r="B89" s="4">
        <v>45861.291134259256</v>
      </c>
      <c r="C89" s="2" t="s">
        <v>4</v>
      </c>
      <c r="D89" s="2">
        <v>1018</v>
      </c>
      <c r="E89" s="2" t="s">
        <v>48</v>
      </c>
      <c r="F89" s="2">
        <v>4</v>
      </c>
      <c r="G89" s="2">
        <v>1817</v>
      </c>
      <c r="H89" t="str">
        <f>_xlfn.XLOOKUP(TRIM(E89),Product_List!A:A,Product_List!B:B)</f>
        <v>Electronics</v>
      </c>
      <c r="I89">
        <f>_xlfn.XLOOKUP(TRIM(E89),Product_List!A:A,Product_List!D:D)</f>
        <v>469</v>
      </c>
      <c r="J89">
        <f>_xlfn.XLOOKUP(TRIM(E89),Product_List!A:A,Product_List!E:E)</f>
        <v>0.22</v>
      </c>
      <c r="K89">
        <f t="shared" si="7"/>
        <v>7268</v>
      </c>
      <c r="L89">
        <f t="shared" si="8"/>
        <v>5669.04</v>
      </c>
      <c r="M89">
        <f t="shared" si="9"/>
        <v>45869</v>
      </c>
      <c r="N89">
        <f>_xlfn.XLOOKUP(M89,Finance_Data!A:A,Finance_Data!B:B)</f>
        <v>36304</v>
      </c>
      <c r="O89">
        <f t="shared" si="10"/>
        <v>12</v>
      </c>
      <c r="P89">
        <f t="shared" si="11"/>
        <v>3025.3333333333335</v>
      </c>
      <c r="Q89">
        <f t="shared" si="12"/>
        <v>2366.6666666666665</v>
      </c>
      <c r="R89">
        <f t="shared" si="13"/>
        <v>31997</v>
      </c>
      <c r="S89" t="str" cm="1">
        <f t="array" ref="S89">_xlfn.IFS(R89&gt;50000,"VIP",R89&gt;=20000,"Regular",TRUE,"Low Value")</f>
        <v>Regular</v>
      </c>
      <c r="T89" t="str">
        <f>INDEX(Product_List!B:B,MATCH(E90,Product_List!A:A,0))</f>
        <v>Electronics</v>
      </c>
      <c r="U89">
        <f>_xlfn.XLOOKUP(A89,Operations_Data!A:A,Operations_Data!B:B)</f>
        <v>3</v>
      </c>
      <c r="W89">
        <f>_xlfn.XLOOKUP(A89,Operations_Data!A:A,Operations_Data!C:C)</f>
        <v>0.1</v>
      </c>
    </row>
    <row r="90" spans="1:23">
      <c r="A90" s="2" t="s">
        <v>133</v>
      </c>
      <c r="B90" s="4">
        <v>45889.657800925925</v>
      </c>
      <c r="C90" s="2" t="s">
        <v>4</v>
      </c>
      <c r="D90" s="2">
        <v>1019</v>
      </c>
      <c r="E90" s="2" t="s">
        <v>44</v>
      </c>
      <c r="F90" s="2">
        <v>5</v>
      </c>
      <c r="G90" s="2">
        <v>698</v>
      </c>
      <c r="H90" t="str">
        <f>_xlfn.XLOOKUP(TRIM(E90),Product_List!A:A,Product_List!B:B)</f>
        <v>Electronics</v>
      </c>
      <c r="I90">
        <f>_xlfn.XLOOKUP(TRIM(E90),Product_List!A:A,Product_List!D:D)</f>
        <v>463</v>
      </c>
      <c r="J90">
        <f>_xlfn.XLOOKUP(TRIM(E90),Product_List!A:A,Product_List!E:E)</f>
        <v>0.23</v>
      </c>
      <c r="K90">
        <f t="shared" si="7"/>
        <v>3490</v>
      </c>
      <c r="L90">
        <f t="shared" si="8"/>
        <v>2687.3</v>
      </c>
      <c r="M90">
        <f t="shared" si="9"/>
        <v>45900</v>
      </c>
      <c r="N90">
        <f>_xlfn.XLOOKUP(M90,Finance_Data!A:A,Finance_Data!B:B)</f>
        <v>36734</v>
      </c>
      <c r="O90">
        <f t="shared" si="10"/>
        <v>11</v>
      </c>
      <c r="P90">
        <f t="shared" si="11"/>
        <v>3339.4545454545455</v>
      </c>
      <c r="Q90">
        <f t="shared" si="12"/>
        <v>-2164.4545454545455</v>
      </c>
      <c r="R90">
        <f t="shared" si="13"/>
        <v>20633</v>
      </c>
      <c r="S90" t="str" cm="1">
        <f t="array" ref="S90">_xlfn.IFS(R90&gt;50000,"VIP",R90&gt;=20000,"Regular",TRUE,"Low Value")</f>
        <v>Regular</v>
      </c>
      <c r="T90" t="str">
        <f>INDEX(Product_List!B:B,MATCH(E91,Product_List!A:A,0))</f>
        <v>Electronics</v>
      </c>
      <c r="U90">
        <f>_xlfn.XLOOKUP(A90,Operations_Data!A:A,Operations_Data!B:B)</f>
        <v>4</v>
      </c>
      <c r="W90">
        <f>_xlfn.XLOOKUP(A90,Operations_Data!A:A,Operations_Data!C:C)</f>
        <v>7.0000000000000007E-2</v>
      </c>
    </row>
    <row r="91" spans="1:23">
      <c r="A91" s="2" t="s">
        <v>134</v>
      </c>
      <c r="B91" s="4">
        <v>45898.258506944447</v>
      </c>
      <c r="C91" s="2" t="s">
        <v>6</v>
      </c>
      <c r="D91" s="2">
        <v>1003</v>
      </c>
      <c r="E91" s="2" t="s">
        <v>44</v>
      </c>
      <c r="F91" s="2">
        <v>3</v>
      </c>
      <c r="G91" s="2">
        <v>651</v>
      </c>
      <c r="H91" t="str">
        <f>_xlfn.XLOOKUP(TRIM(E91),Product_List!A:A,Product_List!B:B)</f>
        <v>Electronics</v>
      </c>
      <c r="I91">
        <f>_xlfn.XLOOKUP(TRIM(E91),Product_List!A:A,Product_List!D:D)</f>
        <v>463</v>
      </c>
      <c r="J91">
        <f>_xlfn.XLOOKUP(TRIM(E91),Product_List!A:A,Product_List!E:E)</f>
        <v>0.23</v>
      </c>
      <c r="K91">
        <f t="shared" si="7"/>
        <v>1953</v>
      </c>
      <c r="L91">
        <f t="shared" si="8"/>
        <v>1503.81</v>
      </c>
      <c r="M91">
        <f t="shared" si="9"/>
        <v>45900</v>
      </c>
      <c r="N91">
        <f>_xlfn.XLOOKUP(M91,Finance_Data!A:A,Finance_Data!B:B)</f>
        <v>36734</v>
      </c>
      <c r="O91">
        <f t="shared" si="10"/>
        <v>11</v>
      </c>
      <c r="P91">
        <f t="shared" si="11"/>
        <v>3339.4545454545455</v>
      </c>
      <c r="Q91">
        <f t="shared" si="12"/>
        <v>-2775.4545454545455</v>
      </c>
      <c r="R91">
        <f t="shared" si="13"/>
        <v>31251</v>
      </c>
      <c r="S91" t="str" cm="1">
        <f t="array" ref="S91">_xlfn.IFS(R91&gt;50000,"VIP",R91&gt;=20000,"Regular",TRUE,"Low Value")</f>
        <v>Regular</v>
      </c>
      <c r="T91" t="str">
        <f>INDEX(Product_List!B:B,MATCH(E2,Product_List!A:A,0))</f>
        <v>Electronics</v>
      </c>
      <c r="U91">
        <f>_xlfn.XLOOKUP(A91,Operations_Data!A:A,Operations_Data!B:B)</f>
        <v>5</v>
      </c>
      <c r="W91">
        <f>_xlfn.XLOOKUP(A91,Operations_Data!A:A,Operations_Data!C:C)</f>
        <v>0.09</v>
      </c>
    </row>
  </sheetData>
  <conditionalFormatting sqref="A2:W91">
    <cfRule type="expression" dxfId="7" priority="1">
      <formula>$R2&gt;25000</formula>
    </cfRule>
  </conditionalFormatting>
  <conditionalFormatting sqref="U2:U91">
    <cfRule type="iconSet" priority="11">
      <iconSet iconSet="3TrafficLights2">
        <cfvo type="percent" val="0"/>
        <cfvo type="percent" val="33"/>
        <cfvo type="percent" val="67"/>
      </iconSet>
    </cfRule>
  </conditionalFormatting>
  <dataValidations count="1">
    <dataValidation type="list" allowBlank="1" showInputMessage="1" showErrorMessage="1" sqref="X1" xr:uid="{0246033F-3380-4A2F-99B7-E2EBBD48345D}">
      <formula1>"East,West,North,South"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509DE-C8CC-4A82-846E-143C5775C6B2}">
  <dimension ref="A1:C91"/>
  <sheetViews>
    <sheetView workbookViewId="0"/>
  </sheetViews>
  <sheetFormatPr defaultRowHeight="14.5"/>
  <cols>
    <col min="1" max="1" width="12.1796875" customWidth="1"/>
    <col min="2" max="2" width="13.26953125" customWidth="1"/>
    <col min="3" max="3" width="14.26953125" customWidth="1"/>
  </cols>
  <sheetData>
    <row r="1" spans="1:3">
      <c r="A1" s="1" t="s">
        <v>20</v>
      </c>
      <c r="B1" s="1" t="s">
        <v>135</v>
      </c>
      <c r="C1" s="1" t="s">
        <v>136</v>
      </c>
    </row>
    <row r="2" spans="1:3">
      <c r="A2" s="2" t="s">
        <v>39</v>
      </c>
      <c r="B2" s="2">
        <v>5</v>
      </c>
      <c r="C2" s="2">
        <v>0.01</v>
      </c>
    </row>
    <row r="3" spans="1:3">
      <c r="A3" s="2" t="s">
        <v>41</v>
      </c>
      <c r="B3" s="2">
        <v>2</v>
      </c>
      <c r="C3" s="2">
        <v>0.03</v>
      </c>
    </row>
    <row r="4" spans="1:3">
      <c r="A4" s="2" t="s">
        <v>43</v>
      </c>
      <c r="B4" s="2">
        <v>6</v>
      </c>
      <c r="C4" s="2">
        <v>0.05</v>
      </c>
    </row>
    <row r="5" spans="1:3">
      <c r="A5" s="2" t="s">
        <v>45</v>
      </c>
      <c r="B5" s="2">
        <v>4</v>
      </c>
      <c r="C5" s="2">
        <v>7.0000000000000007E-2</v>
      </c>
    </row>
    <row r="6" spans="1:3">
      <c r="A6" s="2" t="s">
        <v>47</v>
      </c>
      <c r="B6" s="2">
        <v>5</v>
      </c>
      <c r="C6" s="2">
        <v>0.03</v>
      </c>
    </row>
    <row r="7" spans="1:3">
      <c r="A7" s="2" t="s">
        <v>49</v>
      </c>
      <c r="B7" s="2">
        <v>5</v>
      </c>
      <c r="C7" s="2">
        <v>0.06</v>
      </c>
    </row>
    <row r="8" spans="1:3">
      <c r="A8" s="2" t="s">
        <v>50</v>
      </c>
      <c r="B8" s="2">
        <v>4</v>
      </c>
      <c r="C8" s="2">
        <v>0.02</v>
      </c>
    </row>
    <row r="9" spans="1:3">
      <c r="A9" s="2" t="s">
        <v>51</v>
      </c>
      <c r="B9" s="2">
        <v>8</v>
      </c>
      <c r="C9" s="2">
        <v>7.0000000000000007E-2</v>
      </c>
    </row>
    <row r="10" spans="1:3">
      <c r="A10" s="2" t="s">
        <v>52</v>
      </c>
      <c r="B10" s="2">
        <v>2</v>
      </c>
      <c r="C10" s="2">
        <v>0.08</v>
      </c>
    </row>
    <row r="11" spans="1:3">
      <c r="A11" s="2" t="s">
        <v>54</v>
      </c>
      <c r="B11" s="2">
        <v>2</v>
      </c>
      <c r="C11" s="2">
        <v>0.08</v>
      </c>
    </row>
    <row r="12" spans="1:3">
      <c r="A12" s="2" t="s">
        <v>55</v>
      </c>
      <c r="B12" s="2">
        <v>8</v>
      </c>
      <c r="C12" s="2">
        <v>0.06</v>
      </c>
    </row>
    <row r="13" spans="1:3">
      <c r="A13" s="2" t="s">
        <v>56</v>
      </c>
      <c r="B13" s="2">
        <v>8</v>
      </c>
      <c r="C13" s="2">
        <v>0.03</v>
      </c>
    </row>
    <row r="14" spans="1:3">
      <c r="A14" s="2" t="s">
        <v>57</v>
      </c>
      <c r="B14" s="2">
        <v>1</v>
      </c>
      <c r="C14" s="2">
        <v>7.0000000000000007E-2</v>
      </c>
    </row>
    <row r="15" spans="1:3">
      <c r="A15" s="2" t="s">
        <v>58</v>
      </c>
      <c r="B15" s="2">
        <v>3</v>
      </c>
      <c r="C15" s="2">
        <v>0.09</v>
      </c>
    </row>
    <row r="16" spans="1:3">
      <c r="A16" s="2" t="s">
        <v>59</v>
      </c>
      <c r="B16" s="2">
        <v>4</v>
      </c>
      <c r="C16" s="2">
        <v>0.06</v>
      </c>
    </row>
    <row r="17" spans="1:3">
      <c r="A17" s="2" t="s">
        <v>60</v>
      </c>
      <c r="B17" s="2">
        <v>3</v>
      </c>
      <c r="C17" s="2">
        <v>0.1</v>
      </c>
    </row>
    <row r="18" spans="1:3">
      <c r="A18" s="2" t="s">
        <v>61</v>
      </c>
      <c r="B18" s="2">
        <v>6</v>
      </c>
      <c r="C18" s="2">
        <v>0.1</v>
      </c>
    </row>
    <row r="19" spans="1:3">
      <c r="A19" s="2" t="s">
        <v>62</v>
      </c>
      <c r="B19" s="2">
        <v>9</v>
      </c>
      <c r="C19" s="2">
        <v>0.02</v>
      </c>
    </row>
    <row r="20" spans="1:3">
      <c r="A20" s="2" t="s">
        <v>63</v>
      </c>
      <c r="B20" s="2">
        <v>2</v>
      </c>
      <c r="C20" s="2">
        <v>0</v>
      </c>
    </row>
    <row r="21" spans="1:3">
      <c r="A21" s="2" t="s">
        <v>64</v>
      </c>
      <c r="B21" s="2">
        <v>1</v>
      </c>
      <c r="C21" s="2">
        <v>0.02</v>
      </c>
    </row>
    <row r="22" spans="1:3">
      <c r="A22" s="2" t="s">
        <v>65</v>
      </c>
      <c r="B22" s="2">
        <v>8</v>
      </c>
      <c r="C22" s="2">
        <v>0.09</v>
      </c>
    </row>
    <row r="23" spans="1:3">
      <c r="A23" s="2" t="s">
        <v>66</v>
      </c>
      <c r="B23" s="2">
        <v>7</v>
      </c>
      <c r="C23" s="2">
        <v>0.1</v>
      </c>
    </row>
    <row r="24" spans="1:3">
      <c r="A24" s="2" t="s">
        <v>67</v>
      </c>
      <c r="B24" s="2">
        <v>3</v>
      </c>
      <c r="C24" s="2">
        <v>0.02</v>
      </c>
    </row>
    <row r="25" spans="1:3">
      <c r="A25" s="2" t="s">
        <v>68</v>
      </c>
      <c r="B25" s="2">
        <v>1</v>
      </c>
      <c r="C25" s="2">
        <v>0.04</v>
      </c>
    </row>
    <row r="26" spans="1:3">
      <c r="A26" s="2" t="s">
        <v>69</v>
      </c>
      <c r="B26" s="2">
        <v>9</v>
      </c>
      <c r="C26" s="2">
        <v>0.05</v>
      </c>
    </row>
    <row r="27" spans="1:3">
      <c r="A27" s="2" t="s">
        <v>70</v>
      </c>
      <c r="B27" s="2">
        <v>3</v>
      </c>
      <c r="C27" s="2">
        <v>0.03</v>
      </c>
    </row>
    <row r="28" spans="1:3">
      <c r="A28" s="2" t="s">
        <v>71</v>
      </c>
      <c r="B28" s="2">
        <v>6</v>
      </c>
      <c r="C28" s="2">
        <v>0.05</v>
      </c>
    </row>
    <row r="29" spans="1:3">
      <c r="A29" s="2" t="s">
        <v>72</v>
      </c>
      <c r="B29" s="2">
        <v>2</v>
      </c>
      <c r="C29" s="2">
        <v>7.0000000000000007E-2</v>
      </c>
    </row>
    <row r="30" spans="1:3">
      <c r="A30" s="2" t="s">
        <v>73</v>
      </c>
      <c r="B30" s="2">
        <v>9</v>
      </c>
      <c r="C30" s="2">
        <v>0.05</v>
      </c>
    </row>
    <row r="31" spans="1:3">
      <c r="A31" s="2" t="s">
        <v>74</v>
      </c>
      <c r="B31" s="2">
        <v>2</v>
      </c>
      <c r="C31" s="2">
        <v>7.0000000000000007E-2</v>
      </c>
    </row>
    <row r="32" spans="1:3">
      <c r="A32" s="2" t="s">
        <v>75</v>
      </c>
      <c r="B32" s="2">
        <v>6</v>
      </c>
      <c r="C32" s="2">
        <v>0.05</v>
      </c>
    </row>
    <row r="33" spans="1:3">
      <c r="A33" s="2" t="s">
        <v>76</v>
      </c>
      <c r="B33" s="2">
        <v>5</v>
      </c>
      <c r="C33" s="2">
        <v>0</v>
      </c>
    </row>
    <row r="34" spans="1:3">
      <c r="A34" s="2" t="s">
        <v>77</v>
      </c>
      <c r="B34" s="2">
        <v>3</v>
      </c>
      <c r="C34" s="2">
        <v>0.04</v>
      </c>
    </row>
    <row r="35" spans="1:3">
      <c r="A35" s="2" t="s">
        <v>78</v>
      </c>
      <c r="B35" s="2">
        <v>9</v>
      </c>
      <c r="C35" s="2">
        <v>0.05</v>
      </c>
    </row>
    <row r="36" spans="1:3">
      <c r="A36" s="2" t="s">
        <v>79</v>
      </c>
      <c r="B36" s="2">
        <v>4</v>
      </c>
      <c r="C36" s="2">
        <v>0.04</v>
      </c>
    </row>
    <row r="37" spans="1:3">
      <c r="A37" s="2" t="s">
        <v>80</v>
      </c>
      <c r="B37" s="2">
        <v>6</v>
      </c>
      <c r="C37" s="2">
        <v>0.04</v>
      </c>
    </row>
    <row r="38" spans="1:3">
      <c r="A38" s="2" t="s">
        <v>81</v>
      </c>
      <c r="B38" s="2">
        <v>1</v>
      </c>
      <c r="C38" s="2">
        <v>0.05</v>
      </c>
    </row>
    <row r="39" spans="1:3">
      <c r="A39" s="2" t="s">
        <v>82</v>
      </c>
      <c r="B39" s="2">
        <v>4</v>
      </c>
      <c r="C39" s="2">
        <v>0.04</v>
      </c>
    </row>
    <row r="40" spans="1:3">
      <c r="A40" s="2" t="s">
        <v>83</v>
      </c>
      <c r="B40" s="2">
        <v>7</v>
      </c>
      <c r="C40" s="2">
        <v>0.01</v>
      </c>
    </row>
    <row r="41" spans="1:3">
      <c r="A41" s="2" t="s">
        <v>84</v>
      </c>
      <c r="B41" s="2">
        <v>4</v>
      </c>
      <c r="C41" s="2">
        <v>0.03</v>
      </c>
    </row>
    <row r="42" spans="1:3">
      <c r="A42" s="2" t="s">
        <v>85</v>
      </c>
      <c r="B42" s="2">
        <v>5</v>
      </c>
      <c r="C42" s="2">
        <v>0.09</v>
      </c>
    </row>
    <row r="43" spans="1:3">
      <c r="A43" s="2" t="s">
        <v>86</v>
      </c>
      <c r="B43" s="2">
        <v>8</v>
      </c>
      <c r="C43" s="2">
        <v>0</v>
      </c>
    </row>
    <row r="44" spans="1:3">
      <c r="A44" s="2" t="s">
        <v>87</v>
      </c>
      <c r="B44" s="2">
        <v>7</v>
      </c>
      <c r="C44" s="2">
        <v>0</v>
      </c>
    </row>
    <row r="45" spans="1:3">
      <c r="A45" s="2" t="s">
        <v>88</v>
      </c>
      <c r="B45" s="2">
        <v>4</v>
      </c>
      <c r="C45" s="2">
        <v>0.03</v>
      </c>
    </row>
    <row r="46" spans="1:3">
      <c r="A46" s="2" t="s">
        <v>89</v>
      </c>
      <c r="B46" s="2">
        <v>1</v>
      </c>
      <c r="C46" s="2">
        <v>0.06</v>
      </c>
    </row>
    <row r="47" spans="1:3">
      <c r="A47" s="2" t="s">
        <v>90</v>
      </c>
      <c r="B47" s="2">
        <v>5</v>
      </c>
      <c r="C47" s="2">
        <v>0.1</v>
      </c>
    </row>
    <row r="48" spans="1:3">
      <c r="A48" s="2" t="s">
        <v>91</v>
      </c>
      <c r="B48" s="2">
        <v>5</v>
      </c>
      <c r="C48" s="2">
        <v>0.1</v>
      </c>
    </row>
    <row r="49" spans="1:3">
      <c r="A49" s="2" t="s">
        <v>92</v>
      </c>
      <c r="B49" s="2">
        <v>6</v>
      </c>
      <c r="C49" s="2">
        <v>0.1</v>
      </c>
    </row>
    <row r="50" spans="1:3">
      <c r="A50" s="2" t="s">
        <v>93</v>
      </c>
      <c r="B50" s="2">
        <v>8</v>
      </c>
      <c r="C50" s="2">
        <v>0.01</v>
      </c>
    </row>
    <row r="51" spans="1:3">
      <c r="A51" s="2" t="s">
        <v>94</v>
      </c>
      <c r="B51" s="2">
        <v>7</v>
      </c>
      <c r="C51" s="2">
        <v>7.0000000000000007E-2</v>
      </c>
    </row>
    <row r="52" spans="1:3">
      <c r="A52" s="2" t="s">
        <v>95</v>
      </c>
      <c r="B52" s="2">
        <v>7</v>
      </c>
      <c r="C52" s="2">
        <v>0.05</v>
      </c>
    </row>
    <row r="53" spans="1:3">
      <c r="A53" s="2" t="s">
        <v>96</v>
      </c>
      <c r="B53" s="2">
        <v>3</v>
      </c>
      <c r="C53" s="2">
        <v>0.02</v>
      </c>
    </row>
    <row r="54" spans="1:3">
      <c r="A54" s="2" t="s">
        <v>97</v>
      </c>
      <c r="B54" s="2">
        <v>5</v>
      </c>
      <c r="C54" s="2">
        <v>0.09</v>
      </c>
    </row>
    <row r="55" spans="1:3">
      <c r="A55" s="2" t="s">
        <v>98</v>
      </c>
      <c r="B55" s="2">
        <v>3</v>
      </c>
      <c r="C55" s="2">
        <v>0.02</v>
      </c>
    </row>
    <row r="56" spans="1:3">
      <c r="A56" s="2" t="s">
        <v>99</v>
      </c>
      <c r="B56" s="2">
        <v>8</v>
      </c>
      <c r="C56" s="2">
        <v>0.1</v>
      </c>
    </row>
    <row r="57" spans="1:3">
      <c r="A57" s="2" t="s">
        <v>100</v>
      </c>
      <c r="B57" s="2">
        <v>2</v>
      </c>
      <c r="C57" s="2">
        <v>0.06</v>
      </c>
    </row>
    <row r="58" spans="1:3">
      <c r="A58" s="2" t="s">
        <v>101</v>
      </c>
      <c r="B58" s="2">
        <v>7</v>
      </c>
      <c r="C58" s="2">
        <v>0.02</v>
      </c>
    </row>
    <row r="59" spans="1:3">
      <c r="A59" s="2" t="s">
        <v>102</v>
      </c>
      <c r="B59" s="2">
        <v>7</v>
      </c>
      <c r="C59" s="2">
        <v>0.04</v>
      </c>
    </row>
    <row r="60" spans="1:3">
      <c r="A60" s="2" t="s">
        <v>103</v>
      </c>
      <c r="B60" s="2">
        <v>1</v>
      </c>
      <c r="C60" s="2">
        <v>0.02</v>
      </c>
    </row>
    <row r="61" spans="1:3">
      <c r="A61" s="2" t="s">
        <v>104</v>
      </c>
      <c r="B61" s="2">
        <v>8</v>
      </c>
      <c r="C61" s="2">
        <v>0.04</v>
      </c>
    </row>
    <row r="62" spans="1:3">
      <c r="A62" s="2" t="s">
        <v>105</v>
      </c>
      <c r="B62" s="2">
        <v>3</v>
      </c>
      <c r="C62" s="2">
        <v>0.06</v>
      </c>
    </row>
    <row r="63" spans="1:3">
      <c r="A63" s="2" t="s">
        <v>106</v>
      </c>
      <c r="B63" s="2">
        <v>4</v>
      </c>
      <c r="C63" s="2">
        <v>7.0000000000000007E-2</v>
      </c>
    </row>
    <row r="64" spans="1:3">
      <c r="A64" s="2" t="s">
        <v>107</v>
      </c>
      <c r="B64" s="2">
        <v>6</v>
      </c>
      <c r="C64" s="2">
        <v>0.05</v>
      </c>
    </row>
    <row r="65" spans="1:3">
      <c r="A65" s="2" t="s">
        <v>108</v>
      </c>
      <c r="B65" s="2">
        <v>5</v>
      </c>
      <c r="C65" s="2">
        <v>0.03</v>
      </c>
    </row>
    <row r="66" spans="1:3">
      <c r="A66" s="2" t="s">
        <v>109</v>
      </c>
      <c r="B66" s="2">
        <v>3</v>
      </c>
      <c r="C66" s="2">
        <v>0.06</v>
      </c>
    </row>
    <row r="67" spans="1:3">
      <c r="A67" s="2" t="s">
        <v>110</v>
      </c>
      <c r="B67" s="2">
        <v>5</v>
      </c>
      <c r="C67" s="2">
        <v>0.04</v>
      </c>
    </row>
    <row r="68" spans="1:3">
      <c r="A68" s="2" t="s">
        <v>111</v>
      </c>
      <c r="B68" s="2">
        <v>4</v>
      </c>
      <c r="C68" s="2">
        <v>0.04</v>
      </c>
    </row>
    <row r="69" spans="1:3">
      <c r="A69" s="2" t="s">
        <v>112</v>
      </c>
      <c r="B69" s="2">
        <v>8</v>
      </c>
      <c r="C69" s="2">
        <v>0.03</v>
      </c>
    </row>
    <row r="70" spans="1:3">
      <c r="A70" s="2" t="s">
        <v>113</v>
      </c>
      <c r="B70" s="2">
        <v>1</v>
      </c>
      <c r="C70" s="2">
        <v>0.02</v>
      </c>
    </row>
    <row r="71" spans="1:3">
      <c r="A71" s="2" t="s">
        <v>114</v>
      </c>
      <c r="B71" s="2">
        <v>1</v>
      </c>
      <c r="C71" s="2">
        <v>0.05</v>
      </c>
    </row>
    <row r="72" spans="1:3">
      <c r="A72" s="2" t="s">
        <v>115</v>
      </c>
      <c r="B72" s="2">
        <v>6</v>
      </c>
      <c r="C72" s="2">
        <v>0.05</v>
      </c>
    </row>
    <row r="73" spans="1:3">
      <c r="A73" s="2" t="s">
        <v>116</v>
      </c>
      <c r="B73" s="2">
        <v>7</v>
      </c>
      <c r="C73" s="2">
        <v>0.09</v>
      </c>
    </row>
    <row r="74" spans="1:3">
      <c r="A74" s="2" t="s">
        <v>117</v>
      </c>
      <c r="B74" s="2">
        <v>7</v>
      </c>
      <c r="C74" s="2">
        <v>7.0000000000000007E-2</v>
      </c>
    </row>
    <row r="75" spans="1:3">
      <c r="A75" s="2" t="s">
        <v>118</v>
      </c>
      <c r="B75" s="2">
        <v>6</v>
      </c>
      <c r="C75" s="2">
        <v>0.08</v>
      </c>
    </row>
    <row r="76" spans="1:3">
      <c r="A76" s="2" t="s">
        <v>119</v>
      </c>
      <c r="B76" s="2">
        <v>7</v>
      </c>
      <c r="C76" s="2">
        <v>0.04</v>
      </c>
    </row>
    <row r="77" spans="1:3">
      <c r="A77" s="2" t="s">
        <v>120</v>
      </c>
      <c r="B77" s="2">
        <v>5</v>
      </c>
      <c r="C77" s="2">
        <v>0.03</v>
      </c>
    </row>
    <row r="78" spans="1:3">
      <c r="A78" s="2" t="s">
        <v>121</v>
      </c>
      <c r="B78" s="2">
        <v>8</v>
      </c>
      <c r="C78" s="2">
        <v>7.0000000000000007E-2</v>
      </c>
    </row>
    <row r="79" spans="1:3">
      <c r="A79" s="2" t="s">
        <v>122</v>
      </c>
      <c r="B79" s="2">
        <v>4</v>
      </c>
      <c r="C79" s="2">
        <v>7.0000000000000007E-2</v>
      </c>
    </row>
    <row r="80" spans="1:3">
      <c r="A80" s="2" t="s">
        <v>123</v>
      </c>
      <c r="B80" s="2">
        <v>3</v>
      </c>
      <c r="C80" s="2">
        <v>0.01</v>
      </c>
    </row>
    <row r="81" spans="1:3">
      <c r="A81" s="2" t="s">
        <v>124</v>
      </c>
      <c r="B81" s="2">
        <v>4</v>
      </c>
      <c r="C81" s="2">
        <v>0.01</v>
      </c>
    </row>
    <row r="82" spans="1:3">
      <c r="A82" s="2" t="s">
        <v>125</v>
      </c>
      <c r="B82" s="2">
        <v>9</v>
      </c>
      <c r="C82" s="2">
        <v>0.05</v>
      </c>
    </row>
    <row r="83" spans="1:3">
      <c r="A83" s="2" t="s">
        <v>126</v>
      </c>
      <c r="B83" s="2">
        <v>8</v>
      </c>
      <c r="C83" s="2">
        <v>0.02</v>
      </c>
    </row>
    <row r="84" spans="1:3">
      <c r="A84" s="2" t="s">
        <v>127</v>
      </c>
      <c r="B84" s="2">
        <v>2</v>
      </c>
      <c r="C84" s="2">
        <v>0.1</v>
      </c>
    </row>
    <row r="85" spans="1:3">
      <c r="A85" s="2" t="s">
        <v>128</v>
      </c>
      <c r="B85" s="2">
        <v>6</v>
      </c>
      <c r="C85" s="2">
        <v>0.08</v>
      </c>
    </row>
    <row r="86" spans="1:3">
      <c r="A86" s="2" t="s">
        <v>129</v>
      </c>
      <c r="B86" s="2">
        <v>4</v>
      </c>
      <c r="C86" s="2">
        <v>0.05</v>
      </c>
    </row>
    <row r="87" spans="1:3">
      <c r="A87" s="2" t="s">
        <v>130</v>
      </c>
      <c r="B87" s="2">
        <v>1</v>
      </c>
      <c r="C87" s="2">
        <v>0.02</v>
      </c>
    </row>
    <row r="88" spans="1:3">
      <c r="A88" s="2" t="s">
        <v>131</v>
      </c>
      <c r="B88" s="2">
        <v>7</v>
      </c>
      <c r="C88" s="2">
        <v>0.01</v>
      </c>
    </row>
    <row r="89" spans="1:3">
      <c r="A89" s="2" t="s">
        <v>132</v>
      </c>
      <c r="B89" s="2">
        <v>3</v>
      </c>
      <c r="C89" s="2">
        <v>0.1</v>
      </c>
    </row>
    <row r="90" spans="1:3">
      <c r="A90" s="2" t="s">
        <v>133</v>
      </c>
      <c r="B90" s="2">
        <v>4</v>
      </c>
      <c r="C90" s="2">
        <v>7.0000000000000007E-2</v>
      </c>
    </row>
    <row r="91" spans="1:3">
      <c r="A91" s="2" t="s">
        <v>134</v>
      </c>
      <c r="B91" s="2">
        <v>5</v>
      </c>
      <c r="C91" s="2">
        <v>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A579-9946-4765-91BD-348249B5D8F6}">
  <dimension ref="A1:C7"/>
  <sheetViews>
    <sheetView workbookViewId="0">
      <selection activeCell="A7" sqref="A7"/>
    </sheetView>
  </sheetViews>
  <sheetFormatPr defaultRowHeight="14.5"/>
  <cols>
    <col min="1" max="1" width="19.54296875" customWidth="1"/>
    <col min="2" max="2" width="22.453125" customWidth="1"/>
    <col min="3" max="3" width="28.453125" customWidth="1"/>
    <col min="21" max="21" width="28.7265625" customWidth="1"/>
  </cols>
  <sheetData>
    <row r="1" spans="1:3">
      <c r="A1" t="s">
        <v>137</v>
      </c>
      <c r="B1" t="s">
        <v>138</v>
      </c>
      <c r="C1" t="s">
        <v>139</v>
      </c>
    </row>
    <row r="2" spans="1:3">
      <c r="A2" t="str" cm="1">
        <f t="array" ref="A2:A6">_xlfn.UNIQUE(Sales_All!C2:C97)</f>
        <v>South</v>
      </c>
      <c r="B2">
        <f>COUNTIF(Sales_All!$C$2:$C$97,A2)</f>
        <v>23</v>
      </c>
      <c r="C2">
        <f>AVERAGEIF(Sales_All!$C$2:$C$97,A2,Sales_All!$U$2:$U$97)</f>
        <v>5.4347826086956523</v>
      </c>
    </row>
    <row r="3" spans="1:3">
      <c r="A3" t="str">
        <v>West</v>
      </c>
      <c r="B3">
        <f>COUNTIF(Sales_All!$C$2:$C$97,A3)</f>
        <v>24</v>
      </c>
      <c r="C3">
        <f>AVERAGEIF(Sales_All!$C$2:$C$97,A3,Sales_All!$U$2:$U$97)</f>
        <v>5.083333333333333</v>
      </c>
    </row>
    <row r="4" spans="1:3">
      <c r="A4" t="str">
        <v>East</v>
      </c>
      <c r="B4">
        <f>COUNTIF(Sales_All!$C$2:$C$97,A4)</f>
        <v>21</v>
      </c>
      <c r="C4">
        <f>AVERAGEIF(Sales_All!$C$2:$C$97,A4,Sales_All!$U$2:$U$97)</f>
        <v>4.3809523809523814</v>
      </c>
    </row>
    <row r="5" spans="1:3">
      <c r="A5" t="str">
        <v>North</v>
      </c>
      <c r="B5">
        <f>COUNTIF(Sales_All!$C$2:$C$97,A5)</f>
        <v>22</v>
      </c>
      <c r="C5">
        <f>AVERAGEIF(Sales_All!$C$2:$C$97,A5,Sales_All!$U$2:$U$97)</f>
        <v>4.5909090909090908</v>
      </c>
    </row>
    <row r="6" spans="1:3">
      <c r="A6">
        <v>0</v>
      </c>
    </row>
    <row r="7" spans="1:3">
      <c r="A7" t="s">
        <v>3</v>
      </c>
      <c r="B7" t="s">
        <v>9</v>
      </c>
    </row>
  </sheetData>
  <dataValidations count="2">
    <dataValidation type="list" allowBlank="1" showInputMessage="1" showErrorMessage="1" sqref="A7" xr:uid="{9037E370-C3A0-423E-AA53-05A4D58DD7A2}">
      <formula1>"East,West,North,South"</formula1>
    </dataValidation>
    <dataValidation type="list" allowBlank="1" showInputMessage="1" showErrorMessage="1" sqref="B7" xr:uid="{D352E83E-1514-4B2D-B750-8CC6F69E0115}">
      <formula1>ProductCategories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C713-3E75-4C7D-8EE6-EF3FAE6BFCC1}">
  <dimension ref="A2:E11"/>
  <sheetViews>
    <sheetView workbookViewId="0">
      <selection activeCell="D17" sqref="D17"/>
    </sheetView>
  </sheetViews>
  <sheetFormatPr defaultRowHeight="14.5"/>
  <cols>
    <col min="1" max="1" width="17.81640625" customWidth="1"/>
    <col min="2" max="2" width="15.453125" customWidth="1"/>
    <col min="3" max="3" width="13.26953125" customWidth="1"/>
    <col min="4" max="4" width="15.453125" customWidth="1"/>
    <col min="5" max="5" width="14" customWidth="1"/>
  </cols>
  <sheetData>
    <row r="2" spans="1:5">
      <c r="A2" s="1" t="s">
        <v>140</v>
      </c>
      <c r="B2" s="1" t="s">
        <v>141</v>
      </c>
      <c r="C2" s="1" t="s">
        <v>142</v>
      </c>
      <c r="D2" s="1" t="s">
        <v>143</v>
      </c>
      <c r="E2" s="11" t="s">
        <v>196</v>
      </c>
    </row>
    <row r="3" spans="1:5">
      <c r="A3" s="3">
        <v>45688</v>
      </c>
      <c r="B3" s="2">
        <v>25640</v>
      </c>
      <c r="C3" s="2">
        <v>60082</v>
      </c>
      <c r="D3" s="2">
        <v>21492</v>
      </c>
      <c r="E3">
        <f>C3-B3</f>
        <v>34442</v>
      </c>
    </row>
    <row r="4" spans="1:5">
      <c r="A4" s="3">
        <v>45716</v>
      </c>
      <c r="B4" s="2">
        <v>43320</v>
      </c>
      <c r="C4" s="2">
        <v>70533</v>
      </c>
      <c r="D4" s="2">
        <v>27724</v>
      </c>
      <c r="E4">
        <f t="shared" ref="E4:E11" si="0">C4-B4</f>
        <v>27213</v>
      </c>
    </row>
    <row r="5" spans="1:5">
      <c r="A5" s="3">
        <v>45747</v>
      </c>
      <c r="B5" s="2">
        <v>34147</v>
      </c>
      <c r="C5" s="2">
        <v>63890</v>
      </c>
      <c r="D5" s="2">
        <v>17738</v>
      </c>
      <c r="E5">
        <f t="shared" si="0"/>
        <v>29743</v>
      </c>
    </row>
    <row r="6" spans="1:5">
      <c r="A6" s="3">
        <v>45777</v>
      </c>
      <c r="B6" s="2">
        <v>44423</v>
      </c>
      <c r="C6" s="2">
        <v>90674</v>
      </c>
      <c r="D6" s="2">
        <v>21152</v>
      </c>
      <c r="E6">
        <f t="shared" si="0"/>
        <v>46251</v>
      </c>
    </row>
    <row r="7" spans="1:5">
      <c r="A7" s="3">
        <v>45808</v>
      </c>
      <c r="B7" s="2">
        <v>32119</v>
      </c>
      <c r="C7" s="2">
        <v>55646</v>
      </c>
      <c r="D7" s="2">
        <v>19723</v>
      </c>
      <c r="E7">
        <f t="shared" si="0"/>
        <v>23527</v>
      </c>
    </row>
    <row r="8" spans="1:5">
      <c r="A8" s="3">
        <v>45838</v>
      </c>
      <c r="B8" s="2">
        <v>20079</v>
      </c>
      <c r="C8" s="2">
        <v>99954</v>
      </c>
      <c r="D8" s="2">
        <v>15769</v>
      </c>
      <c r="E8">
        <f t="shared" si="0"/>
        <v>79875</v>
      </c>
    </row>
    <row r="9" spans="1:5">
      <c r="A9" s="3">
        <v>45869</v>
      </c>
      <c r="B9" s="2">
        <v>36304</v>
      </c>
      <c r="C9" s="2">
        <v>63297</v>
      </c>
      <c r="D9" s="2">
        <v>25453</v>
      </c>
      <c r="E9">
        <f t="shared" si="0"/>
        <v>26993</v>
      </c>
    </row>
    <row r="10" spans="1:5">
      <c r="A10" s="3">
        <v>45900</v>
      </c>
      <c r="B10" s="2">
        <v>36734</v>
      </c>
      <c r="C10" s="2">
        <v>93760</v>
      </c>
      <c r="D10" s="2">
        <v>16230</v>
      </c>
      <c r="E10">
        <f t="shared" si="0"/>
        <v>57026</v>
      </c>
    </row>
    <row r="11" spans="1:5">
      <c r="A11" s="3">
        <v>45930</v>
      </c>
      <c r="B11" s="2">
        <v>34260</v>
      </c>
      <c r="C11" s="2">
        <v>70760</v>
      </c>
      <c r="D11" s="2">
        <v>28818</v>
      </c>
      <c r="E11">
        <f t="shared" si="0"/>
        <v>36500</v>
      </c>
    </row>
  </sheetData>
  <conditionalFormatting sqref="B3:B11">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CFCFF"/>
        <color rgb="FFF8696B"/>
      </colorScale>
    </cfRule>
    <cfRule type="colorScale" priority="3">
      <colorScale>
        <cfvo type="min"/>
        <cfvo type="percentile" val="50"/>
        <cfvo type="max"/>
        <color rgb="FFF8696B"/>
        <color rgb="FFFCFCFF"/>
        <color rgb="FF63BE7B"/>
      </colorScale>
    </cfRule>
    <cfRule type="colorScale" priority="4">
      <colorScale>
        <cfvo type="min"/>
        <cfvo type="percentile" val="50"/>
        <cfvo type="max"/>
        <color rgb="FF63BE7B"/>
        <color rgb="FFFFEB84"/>
        <color rgb="FFF8696B"/>
      </colorScale>
    </cfRule>
    <cfRule type="colorScale" priority="5">
      <colorScale>
        <cfvo type="min"/>
        <cfvo type="percentile" val="50"/>
        <cfvo type="max"/>
        <color rgb="FFF8696B"/>
        <color rgb="FFFCFCFF"/>
        <color rgb="FF63BE7B"/>
      </colorScale>
    </cfRule>
    <cfRule type="colorScale" priority="6">
      <colorScale>
        <cfvo type="min"/>
        <cfvo type="percentile" val="50"/>
        <cfvo type="max"/>
        <color rgb="FFF8696B"/>
        <color rgb="FFFFEB84"/>
        <color rgb="FF63BE7B"/>
      </colorScale>
    </cfRule>
    <cfRule type="colorScale" priority="7">
      <colorScale>
        <cfvo type="min"/>
        <cfvo type="max"/>
        <color rgb="FFFCFCFF"/>
        <color rgb="FF63BE7B"/>
      </colorScale>
    </cfRule>
    <cfRule type="colorScale" priority="8">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FDC3-F541-4FD5-B471-71A77A80F4C7}">
  <dimension ref="A1:E7"/>
  <sheetViews>
    <sheetView workbookViewId="0">
      <selection activeCell="L15" sqref="L15"/>
    </sheetView>
  </sheetViews>
  <sheetFormatPr defaultRowHeight="14.5"/>
  <cols>
    <col min="1" max="1" width="12.26953125" customWidth="1"/>
    <col min="2" max="2" width="11.7265625" bestFit="1" customWidth="1"/>
    <col min="3" max="3" width="12" bestFit="1" customWidth="1"/>
    <col min="4" max="4" width="11.453125" bestFit="1" customWidth="1"/>
    <col min="5" max="5" width="11.54296875" bestFit="1" customWidth="1"/>
  </cols>
  <sheetData>
    <row r="1" spans="1:5">
      <c r="A1" s="7" t="s">
        <v>23</v>
      </c>
      <c r="B1" s="7" t="s">
        <v>144</v>
      </c>
      <c r="C1" s="7" t="s">
        <v>25</v>
      </c>
      <c r="D1" s="7" t="s">
        <v>145</v>
      </c>
      <c r="E1" s="7" t="s">
        <v>146</v>
      </c>
    </row>
    <row r="2" spans="1:5">
      <c r="A2" s="2" t="s">
        <v>48</v>
      </c>
      <c r="B2" s="2" t="s">
        <v>10</v>
      </c>
      <c r="C2" s="2">
        <v>1299</v>
      </c>
      <c r="D2" s="2">
        <v>469</v>
      </c>
      <c r="E2" s="2">
        <v>0.22</v>
      </c>
    </row>
    <row r="3" spans="1:5">
      <c r="A3" s="2" t="s">
        <v>40</v>
      </c>
      <c r="B3" s="2" t="s">
        <v>10</v>
      </c>
      <c r="C3" s="2">
        <v>1613</v>
      </c>
      <c r="D3" s="2">
        <v>492</v>
      </c>
      <c r="E3" s="2">
        <v>0.14000000000000001</v>
      </c>
    </row>
    <row r="4" spans="1:5">
      <c r="A4" s="2" t="s">
        <v>46</v>
      </c>
      <c r="B4" s="2" t="s">
        <v>10</v>
      </c>
      <c r="C4" s="2">
        <v>1402</v>
      </c>
      <c r="D4" s="2">
        <v>97</v>
      </c>
      <c r="E4" s="2">
        <v>0.08</v>
      </c>
    </row>
    <row r="5" spans="1:5">
      <c r="A5" s="2" t="s">
        <v>42</v>
      </c>
      <c r="B5" s="2" t="s">
        <v>9</v>
      </c>
      <c r="C5" s="2">
        <v>106</v>
      </c>
      <c r="D5" s="2">
        <v>323</v>
      </c>
      <c r="E5" s="2">
        <v>0.1</v>
      </c>
    </row>
    <row r="6" spans="1:5">
      <c r="A6" s="2" t="s">
        <v>44</v>
      </c>
      <c r="B6" s="2" t="s">
        <v>10</v>
      </c>
      <c r="C6" s="2">
        <v>396</v>
      </c>
      <c r="D6" s="2">
        <v>463</v>
      </c>
      <c r="E6" s="2">
        <v>0.23</v>
      </c>
    </row>
    <row r="7" spans="1:5">
      <c r="A7" s="2" t="s">
        <v>53</v>
      </c>
      <c r="B7" s="2" t="s">
        <v>11</v>
      </c>
      <c r="C7" s="2">
        <v>1635</v>
      </c>
      <c r="D7" s="2">
        <v>136</v>
      </c>
      <c r="E7" s="2">
        <v>0.1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4905-90E6-45A1-8863-3444020D061D}">
  <dimension ref="A1"/>
  <sheetViews>
    <sheetView workbookViewId="0"/>
  </sheetViews>
  <sheetFormatPr defaultRowHeight="14.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6D0B-9ECF-496E-80E6-DE0D665C93BB}">
  <dimension ref="A1:I29"/>
  <sheetViews>
    <sheetView topLeftCell="C1" workbookViewId="0">
      <selection activeCell="F32" sqref="F32"/>
    </sheetView>
  </sheetViews>
  <sheetFormatPr defaultRowHeight="14.5"/>
  <cols>
    <col min="1" max="1" width="17.1796875" customWidth="1"/>
    <col min="2" max="2" width="13.54296875" customWidth="1"/>
    <col min="3" max="3" width="14.54296875" customWidth="1"/>
    <col min="4" max="4" width="16.54296875" customWidth="1"/>
    <col min="5" max="5" width="21" customWidth="1"/>
    <col min="6" max="6" width="41.453125" customWidth="1"/>
    <col min="7" max="8" width="31.54296875" customWidth="1"/>
  </cols>
  <sheetData>
    <row r="1" spans="1:9">
      <c r="A1" s="1" t="s">
        <v>22</v>
      </c>
      <c r="B1" s="1" t="s">
        <v>147</v>
      </c>
      <c r="C1" s="1" t="s">
        <v>148</v>
      </c>
      <c r="D1" s="1" t="s">
        <v>149</v>
      </c>
      <c r="E1" s="1" t="s">
        <v>150</v>
      </c>
      <c r="F1" s="1" t="s">
        <v>151</v>
      </c>
      <c r="G1" s="1" t="s">
        <v>152</v>
      </c>
      <c r="H1" s="1" t="s">
        <v>153</v>
      </c>
      <c r="I1" s="1" t="s">
        <v>0</v>
      </c>
    </row>
    <row r="2" spans="1:9">
      <c r="A2" s="2">
        <v>1001</v>
      </c>
      <c r="B2" s="2" t="s">
        <v>154</v>
      </c>
      <c r="C2" s="2" t="s">
        <v>155</v>
      </c>
      <c r="D2" s="2" t="str">
        <f>PROPER(B2)</f>
        <v>Naledi</v>
      </c>
      <c r="E2" s="2" t="str">
        <f>PROPER(C2)</f>
        <v>Pillay</v>
      </c>
      <c r="F2" s="2" t="str" cm="1">
        <f t="array" ref="F2">_xlfn.TEXTJOIN(", ",TRUE,IF(Sales_All!$D$2:$D$97=A2,Sales_All!$E$2:$E$97,""))</f>
        <v>Printer, Monitor, Smartphone, Headphones, Monitor, Monitor, Laptop, Laptop</v>
      </c>
      <c r="G2" s="2" t="s">
        <v>156</v>
      </c>
      <c r="H2" s="2" t="str">
        <f>RIGHT(G2,LEN(G2)-FIND("@",G2))</f>
        <v>example.com</v>
      </c>
      <c r="I2" s="2" t="s">
        <v>3</v>
      </c>
    </row>
    <row r="3" spans="1:9">
      <c r="A3" s="2">
        <v>1002</v>
      </c>
      <c r="B3" s="2" t="s">
        <v>157</v>
      </c>
      <c r="C3" s="2" t="s">
        <v>158</v>
      </c>
      <c r="D3" s="2" t="str">
        <f t="shared" ref="D3:D28" si="0">PROPER(B3)</f>
        <v>Michael</v>
      </c>
      <c r="E3" s="2" t="str">
        <f t="shared" ref="E3:E29" si="1">PROPER(C3)</f>
        <v>Van Wyk</v>
      </c>
      <c r="F3" s="2"/>
      <c r="G3" s="2" t="s">
        <v>159</v>
      </c>
      <c r="H3" s="2" t="str">
        <f t="shared" ref="H3:H29" si="2">RIGHT(G3,LEN(G3)-FIND("@",G3))</f>
        <v>example.com</v>
      </c>
      <c r="I3" s="2" t="s">
        <v>3</v>
      </c>
    </row>
    <row r="4" spans="1:9">
      <c r="A4" s="2">
        <v>1003</v>
      </c>
      <c r="B4" s="2" t="s">
        <v>154</v>
      </c>
      <c r="C4" s="2" t="s">
        <v>160</v>
      </c>
      <c r="D4" s="2" t="str">
        <f t="shared" si="0"/>
        <v>Naledi</v>
      </c>
      <c r="E4" s="2" t="str">
        <f t="shared" si="1"/>
        <v>Botha</v>
      </c>
      <c r="F4" s="2" t="str" cm="1">
        <f t="array" ref="F4">_xlfn.TEXTJOIN(", ",TRUE,IF(Sales_All!$D$2:$D$97=A4,Sales_All!$E$2:$E$97,""))</f>
        <v>Printer, Monitor, Headphones, Monitor</v>
      </c>
      <c r="G4" s="2" t="s">
        <v>161</v>
      </c>
      <c r="H4" s="2" t="str">
        <f t="shared" si="2"/>
        <v>example.com</v>
      </c>
      <c r="I4" s="2" t="s">
        <v>3</v>
      </c>
    </row>
    <row r="5" spans="1:9">
      <c r="A5" s="2">
        <v>1004</v>
      </c>
      <c r="B5" s="2" t="s">
        <v>154</v>
      </c>
      <c r="C5" s="2" t="s">
        <v>160</v>
      </c>
      <c r="D5" s="2" t="str">
        <f t="shared" si="0"/>
        <v>Naledi</v>
      </c>
      <c r="E5" s="2" t="str">
        <f t="shared" si="1"/>
        <v>Botha</v>
      </c>
      <c r="F5" s="2"/>
      <c r="G5" s="2" t="s">
        <v>161</v>
      </c>
      <c r="H5" s="2" t="str">
        <f t="shared" si="2"/>
        <v>example.com</v>
      </c>
      <c r="I5" s="2" t="s">
        <v>4</v>
      </c>
    </row>
    <row r="6" spans="1:9">
      <c r="A6" s="2">
        <v>1005</v>
      </c>
      <c r="B6" s="2" t="s">
        <v>157</v>
      </c>
      <c r="C6" s="2" t="s">
        <v>162</v>
      </c>
      <c r="D6" s="2" t="str">
        <f t="shared" si="0"/>
        <v>Michael</v>
      </c>
      <c r="E6" s="2" t="str">
        <f t="shared" si="1"/>
        <v>Johnson</v>
      </c>
      <c r="F6" s="2" t="str" cm="1">
        <f t="array" ref="F6">_xlfn.TEXTJOIN(", ",TRUE,IF(Sales_All!$D$2:$D$97=A6,Sales_All!$E$2:$E$97,""))</f>
        <v>Monitor, Printer, Printer, Printer, Tablet</v>
      </c>
      <c r="G6" s="2" t="s">
        <v>163</v>
      </c>
      <c r="H6" s="2" t="str">
        <f t="shared" si="2"/>
        <v>example.com</v>
      </c>
      <c r="I6" s="2" t="s">
        <v>4</v>
      </c>
    </row>
    <row r="7" spans="1:9">
      <c r="A7" s="2">
        <v>1006</v>
      </c>
      <c r="B7" s="2" t="s">
        <v>164</v>
      </c>
      <c r="C7" s="2" t="s">
        <v>162</v>
      </c>
      <c r="D7" s="2" t="str">
        <f t="shared" si="0"/>
        <v>Emily</v>
      </c>
      <c r="E7" s="2" t="str">
        <f t="shared" si="1"/>
        <v>Johnson</v>
      </c>
      <c r="F7" s="2"/>
      <c r="G7" s="2" t="s">
        <v>165</v>
      </c>
      <c r="H7" s="2" t="str">
        <f t="shared" si="2"/>
        <v>example.com</v>
      </c>
      <c r="I7" s="2" t="s">
        <v>5</v>
      </c>
    </row>
    <row r="8" spans="1:9">
      <c r="A8" s="2">
        <v>1007</v>
      </c>
      <c r="B8" s="2" t="s">
        <v>157</v>
      </c>
      <c r="C8" s="2" t="s">
        <v>166</v>
      </c>
      <c r="D8" s="2" t="str">
        <f t="shared" si="0"/>
        <v>Michael</v>
      </c>
      <c r="E8" s="2" t="str">
        <f t="shared" si="1"/>
        <v>Nguyen</v>
      </c>
      <c r="F8" s="2" t="str" cm="1">
        <f t="array" ref="F8">_xlfn.TEXTJOIN(", ",TRUE,IF(Sales_All!$D$2:$D$97=A8,Sales_All!$E$2:$E$97,""))</f>
        <v>Monitor, Laptop, Smartphone, Monitor</v>
      </c>
      <c r="G8" s="2" t="s">
        <v>167</v>
      </c>
      <c r="H8" s="2" t="str">
        <f t="shared" si="2"/>
        <v>example.com</v>
      </c>
      <c r="I8" s="2" t="s">
        <v>6</v>
      </c>
    </row>
    <row r="9" spans="1:9">
      <c r="A9" s="2">
        <v>1008</v>
      </c>
      <c r="B9" s="2" t="s">
        <v>168</v>
      </c>
      <c r="C9" s="2" t="s">
        <v>162</v>
      </c>
      <c r="D9" s="2" t="str">
        <f t="shared" si="0"/>
        <v>Sipho</v>
      </c>
      <c r="E9" s="2" t="str">
        <f t="shared" si="1"/>
        <v>Johnson</v>
      </c>
      <c r="F9" s="2"/>
      <c r="G9" s="2" t="s">
        <v>169</v>
      </c>
      <c r="H9" s="2" t="str">
        <f t="shared" si="2"/>
        <v>example.com</v>
      </c>
      <c r="I9" s="2" t="s">
        <v>3</v>
      </c>
    </row>
    <row r="10" spans="1:9">
      <c r="A10" s="2">
        <v>1009</v>
      </c>
      <c r="B10" s="2" t="s">
        <v>170</v>
      </c>
      <c r="C10" s="2" t="s">
        <v>166</v>
      </c>
      <c r="D10" s="2" t="str">
        <f t="shared" si="0"/>
        <v>Sarah</v>
      </c>
      <c r="E10" s="2" t="str">
        <f t="shared" si="1"/>
        <v>Nguyen</v>
      </c>
      <c r="F10" s="2" t="str" cm="1">
        <f t="array" ref="F10">_xlfn.TEXTJOIN(", ",TRUE,IF(Sales_All!$D$2:$D$97=A10,Sales_All!$E$2:$E$97,""))</f>
        <v>Monitor, Headphones, Smartphone, Laptop, Printer, Smartphone</v>
      </c>
      <c r="G10" s="2" t="s">
        <v>171</v>
      </c>
      <c r="H10" s="2" t="str">
        <f t="shared" si="2"/>
        <v>example.com</v>
      </c>
      <c r="I10" s="2" t="s">
        <v>4</v>
      </c>
    </row>
    <row r="11" spans="1:9">
      <c r="A11" s="2">
        <v>1010</v>
      </c>
      <c r="B11" s="2" t="s">
        <v>172</v>
      </c>
      <c r="C11" s="2" t="s">
        <v>173</v>
      </c>
      <c r="D11" s="2" t="str">
        <f t="shared" si="0"/>
        <v>John</v>
      </c>
      <c r="E11" s="2" t="str">
        <f t="shared" si="1"/>
        <v>Brown</v>
      </c>
      <c r="F11" s="2"/>
      <c r="G11" s="2" t="s">
        <v>174</v>
      </c>
      <c r="H11" s="2" t="str">
        <f t="shared" si="2"/>
        <v>example.com</v>
      </c>
      <c r="I11" s="2" t="s">
        <v>3</v>
      </c>
    </row>
    <row r="12" spans="1:9">
      <c r="A12" s="2">
        <v>1011</v>
      </c>
      <c r="B12" s="2" t="s">
        <v>172</v>
      </c>
      <c r="C12" s="2" t="s">
        <v>175</v>
      </c>
      <c r="D12" s="2" t="str">
        <f t="shared" si="0"/>
        <v>John</v>
      </c>
      <c r="E12" s="2" t="str">
        <f t="shared" si="1"/>
        <v>Smith</v>
      </c>
      <c r="F12" s="2" t="str" cm="1">
        <f t="array" ref="F12">_xlfn.TEXTJOIN(", ",TRUE,IF(Sales_All!$D$2:$D$97=A12,Sales_All!$E$2:$E$97,""))</f>
        <v>Printer, Headphones, Tablet</v>
      </c>
      <c r="G12" s="2" t="s">
        <v>176</v>
      </c>
      <c r="H12" s="2" t="str">
        <f t="shared" si="2"/>
        <v>example.com</v>
      </c>
      <c r="I12" s="2" t="s">
        <v>5</v>
      </c>
    </row>
    <row r="13" spans="1:9">
      <c r="A13" s="2">
        <v>1012</v>
      </c>
      <c r="B13" s="2" t="s">
        <v>154</v>
      </c>
      <c r="C13" s="2" t="s">
        <v>158</v>
      </c>
      <c r="D13" s="2" t="str">
        <f t="shared" si="0"/>
        <v>Naledi</v>
      </c>
      <c r="E13" s="2" t="str">
        <f t="shared" si="1"/>
        <v>Van Wyk</v>
      </c>
      <c r="F13" s="2"/>
      <c r="G13" s="2" t="s">
        <v>177</v>
      </c>
      <c r="H13" s="2" t="str">
        <f t="shared" si="2"/>
        <v>example.com</v>
      </c>
      <c r="I13" s="2" t="s">
        <v>3</v>
      </c>
    </row>
    <row r="14" spans="1:9">
      <c r="A14" s="2">
        <v>1013</v>
      </c>
      <c r="B14" s="2" t="s">
        <v>168</v>
      </c>
      <c r="C14" s="2" t="s">
        <v>158</v>
      </c>
      <c r="D14" s="2" t="str">
        <f t="shared" si="0"/>
        <v>Sipho</v>
      </c>
      <c r="E14" s="2" t="str">
        <f t="shared" si="1"/>
        <v>Van Wyk</v>
      </c>
      <c r="F14" s="2" t="str" cm="1">
        <f t="array" ref="F14">_xlfn.TEXTJOIN(", ",TRUE,IF(Sales_All!$D$2:$D$97=A14,Sales_All!$E$2:$E$97,""))</f>
        <v>Laptop, Printer</v>
      </c>
      <c r="G14" s="2" t="s">
        <v>178</v>
      </c>
      <c r="H14" s="2" t="str">
        <f t="shared" si="2"/>
        <v>example.com</v>
      </c>
      <c r="I14" s="2" t="s">
        <v>5</v>
      </c>
    </row>
    <row r="15" spans="1:9">
      <c r="A15" s="2">
        <v>1014</v>
      </c>
      <c r="B15" s="2" t="s">
        <v>172</v>
      </c>
      <c r="C15" s="2" t="s">
        <v>179</v>
      </c>
      <c r="D15" s="2" t="str">
        <f t="shared" si="0"/>
        <v>John</v>
      </c>
      <c r="E15" s="2" t="str">
        <f t="shared" si="1"/>
        <v>Mlambo</v>
      </c>
      <c r="F15" s="2"/>
      <c r="G15" s="2" t="s">
        <v>180</v>
      </c>
      <c r="H15" s="2" t="str">
        <f t="shared" si="2"/>
        <v>example.com</v>
      </c>
      <c r="I15" s="2" t="s">
        <v>3</v>
      </c>
    </row>
    <row r="16" spans="1:9">
      <c r="A16" s="2">
        <v>1015</v>
      </c>
      <c r="B16" s="2" t="s">
        <v>172</v>
      </c>
      <c r="C16" s="2" t="s">
        <v>175</v>
      </c>
      <c r="D16" s="2" t="str">
        <f t="shared" si="0"/>
        <v>John</v>
      </c>
      <c r="E16" s="2" t="str">
        <f t="shared" si="1"/>
        <v>Smith</v>
      </c>
      <c r="F16" s="2" t="str" cm="1">
        <f t="array" ref="F16">_xlfn.TEXTJOIN(", ",TRUE,IF(Sales_All!$D$2:$D$97=A16,Sales_All!$E$2:$E$97,""))</f>
        <v>Smartphone, Smartphone</v>
      </c>
      <c r="G16" s="2" t="s">
        <v>176</v>
      </c>
      <c r="H16" s="2" t="str">
        <f t="shared" si="2"/>
        <v>example.com</v>
      </c>
      <c r="I16" s="2" t="s">
        <v>5</v>
      </c>
    </row>
    <row r="17" spans="1:9">
      <c r="A17" s="2">
        <v>1016</v>
      </c>
      <c r="B17" s="2" t="s">
        <v>168</v>
      </c>
      <c r="C17" s="2" t="s">
        <v>166</v>
      </c>
      <c r="D17" s="2" t="str">
        <f t="shared" si="0"/>
        <v>Sipho</v>
      </c>
      <c r="E17" s="2" t="str">
        <f t="shared" si="1"/>
        <v>Nguyen</v>
      </c>
      <c r="F17" s="2"/>
      <c r="G17" s="2" t="s">
        <v>181</v>
      </c>
      <c r="H17" s="2" t="str">
        <f t="shared" si="2"/>
        <v>example.com</v>
      </c>
      <c r="I17" s="2" t="s">
        <v>6</v>
      </c>
    </row>
    <row r="18" spans="1:9">
      <c r="A18" s="2">
        <v>1017</v>
      </c>
      <c r="B18" s="2" t="s">
        <v>168</v>
      </c>
      <c r="C18" s="2" t="s">
        <v>175</v>
      </c>
      <c r="D18" s="2" t="str">
        <f t="shared" si="0"/>
        <v>Sipho</v>
      </c>
      <c r="E18" s="2" t="str">
        <f t="shared" si="1"/>
        <v>Smith</v>
      </c>
      <c r="F18" s="2" t="str" cm="1">
        <f t="array" ref="F18">_xlfn.TEXTJOIN(", ",TRUE,IF(Sales_All!$D$2:$D$97=A18,Sales_All!$E$2:$E$97,""))</f>
        <v>Tablet, Laptop, Printer, Laptop, Smartphone</v>
      </c>
      <c r="G18" s="2" t="s">
        <v>182</v>
      </c>
      <c r="H18" s="2" t="str">
        <f t="shared" si="2"/>
        <v>example.com</v>
      </c>
      <c r="I18" s="2" t="s">
        <v>4</v>
      </c>
    </row>
    <row r="19" spans="1:9">
      <c r="A19" s="2">
        <v>1018</v>
      </c>
      <c r="B19" s="2" t="s">
        <v>157</v>
      </c>
      <c r="C19" s="2" t="s">
        <v>179</v>
      </c>
      <c r="D19" s="2" t="str">
        <f t="shared" si="0"/>
        <v>Michael</v>
      </c>
      <c r="E19" s="2" t="str">
        <f t="shared" si="1"/>
        <v>Mlambo</v>
      </c>
      <c r="F19" s="2"/>
      <c r="G19" s="2" t="s">
        <v>183</v>
      </c>
      <c r="H19" s="2" t="str">
        <f t="shared" si="2"/>
        <v>example.com</v>
      </c>
      <c r="I19" s="2" t="s">
        <v>5</v>
      </c>
    </row>
    <row r="20" spans="1:9">
      <c r="A20" s="2">
        <v>1019</v>
      </c>
      <c r="B20" s="2" t="s">
        <v>154</v>
      </c>
      <c r="C20" s="2" t="s">
        <v>166</v>
      </c>
      <c r="D20" s="2" t="str">
        <f t="shared" si="0"/>
        <v>Naledi</v>
      </c>
      <c r="E20" s="2" t="str">
        <f t="shared" si="1"/>
        <v>Nguyen</v>
      </c>
      <c r="F20" s="2" t="str" cm="1">
        <f t="array" ref="F20">_xlfn.TEXTJOIN(", ",TRUE,IF(Sales_All!$D$2:$D$97=A20,Sales_All!$E$2:$E$97,""))</f>
        <v>Laptop, Laptop, Headphones, Laptop, Tablet, Tablet, Monitor</v>
      </c>
      <c r="G20" s="2" t="s">
        <v>184</v>
      </c>
      <c r="H20" s="2" t="str">
        <f t="shared" si="2"/>
        <v>example.com</v>
      </c>
      <c r="I20" s="2" t="s">
        <v>4</v>
      </c>
    </row>
    <row r="21" spans="1:9">
      <c r="A21" s="2">
        <v>1020</v>
      </c>
      <c r="B21" s="2" t="s">
        <v>185</v>
      </c>
      <c r="C21" s="2" t="s">
        <v>158</v>
      </c>
      <c r="D21" s="2" t="str">
        <f t="shared" si="0"/>
        <v>David</v>
      </c>
      <c r="E21" s="2" t="str">
        <f t="shared" si="1"/>
        <v>Van Wyk</v>
      </c>
      <c r="F21" s="2"/>
      <c r="G21" s="2" t="s">
        <v>186</v>
      </c>
      <c r="H21" s="2" t="str">
        <f t="shared" si="2"/>
        <v>example.com</v>
      </c>
      <c r="I21" s="2" t="s">
        <v>6</v>
      </c>
    </row>
    <row r="22" spans="1:9">
      <c r="A22" s="2">
        <v>1021</v>
      </c>
      <c r="B22" s="2" t="s">
        <v>187</v>
      </c>
      <c r="C22" s="2" t="s">
        <v>160</v>
      </c>
      <c r="D22" s="2" t="str">
        <f t="shared" si="0"/>
        <v>Thabo</v>
      </c>
      <c r="E22" s="2" t="str">
        <f t="shared" si="1"/>
        <v>Botha</v>
      </c>
      <c r="F22" s="2" t="str" cm="1">
        <f t="array" ref="F22">_xlfn.TEXTJOIN(", ",TRUE,IF(Sales_All!$D$2:$D$97=A22,Sales_All!$E$2:$E$97,""))</f>
        <v/>
      </c>
      <c r="G22" s="2" t="s">
        <v>188</v>
      </c>
      <c r="H22" s="2" t="str">
        <f t="shared" si="2"/>
        <v>example.com</v>
      </c>
      <c r="I22" s="2" t="s">
        <v>5</v>
      </c>
    </row>
    <row r="23" spans="1:9">
      <c r="A23" s="2">
        <v>1022</v>
      </c>
      <c r="B23" s="2" t="s">
        <v>168</v>
      </c>
      <c r="C23" s="2" t="s">
        <v>158</v>
      </c>
      <c r="D23" s="2" t="str">
        <f t="shared" si="0"/>
        <v>Sipho</v>
      </c>
      <c r="E23" s="2" t="str">
        <f t="shared" si="1"/>
        <v>Van Wyk</v>
      </c>
      <c r="F23" s="2"/>
      <c r="G23" s="2" t="s">
        <v>178</v>
      </c>
      <c r="H23" s="2" t="str">
        <f t="shared" si="2"/>
        <v>example.com</v>
      </c>
      <c r="I23" s="2" t="s">
        <v>6</v>
      </c>
    </row>
    <row r="24" spans="1:9">
      <c r="A24" s="2">
        <v>1023</v>
      </c>
      <c r="B24" s="2" t="s">
        <v>189</v>
      </c>
      <c r="C24" s="2" t="s">
        <v>190</v>
      </c>
      <c r="D24" s="2" t="str">
        <f t="shared" si="0"/>
        <v>Lerato</v>
      </c>
      <c r="E24" s="2" t="str">
        <f t="shared" si="1"/>
        <v>Naidoo</v>
      </c>
      <c r="F24" s="2" t="str" cm="1">
        <f t="array" ref="F24">_xlfn.TEXTJOIN(", ",TRUE,IF(Sales_All!$D$2:$D$97=A24,Sales_All!$E$2:$E$97,""))</f>
        <v/>
      </c>
      <c r="G24" s="2" t="s">
        <v>191</v>
      </c>
      <c r="H24" s="2" t="str">
        <f t="shared" si="2"/>
        <v>example.com</v>
      </c>
      <c r="I24" s="2" t="s">
        <v>6</v>
      </c>
    </row>
    <row r="25" spans="1:9">
      <c r="A25" s="2">
        <v>1024</v>
      </c>
      <c r="B25" s="2" t="s">
        <v>192</v>
      </c>
      <c r="C25" s="2" t="s">
        <v>173</v>
      </c>
      <c r="D25" s="2" t="str">
        <f t="shared" si="0"/>
        <v>Aisha</v>
      </c>
      <c r="E25" s="2" t="str">
        <f t="shared" si="1"/>
        <v>Brown</v>
      </c>
      <c r="F25" s="2"/>
      <c r="G25" s="2" t="s">
        <v>193</v>
      </c>
      <c r="H25" s="2" t="str">
        <f t="shared" si="2"/>
        <v>example.com</v>
      </c>
      <c r="I25" s="2" t="s">
        <v>3</v>
      </c>
    </row>
    <row r="26" spans="1:9">
      <c r="A26" s="2">
        <v>1025</v>
      </c>
      <c r="B26" s="2" t="s">
        <v>189</v>
      </c>
      <c r="C26" s="2" t="s">
        <v>158</v>
      </c>
      <c r="D26" s="2" t="str">
        <f t="shared" si="0"/>
        <v>Lerato</v>
      </c>
      <c r="E26" s="2" t="str">
        <f t="shared" si="1"/>
        <v>Van Wyk</v>
      </c>
      <c r="F26" s="2" t="str" cm="1">
        <f t="array" ref="F26">_xlfn.TEXTJOIN(", ",TRUE,IF(Sales_All!$D$2:$D$97=A26,Sales_All!$E$2:$E$97,""))</f>
        <v/>
      </c>
      <c r="G26" s="2" t="s">
        <v>194</v>
      </c>
      <c r="H26" s="2" t="str">
        <f t="shared" si="2"/>
        <v>example.com</v>
      </c>
      <c r="I26" s="2" t="s">
        <v>3</v>
      </c>
    </row>
    <row r="27" spans="1:9">
      <c r="A27" s="2">
        <v>1015</v>
      </c>
      <c r="B27" s="2" t="s">
        <v>172</v>
      </c>
      <c r="C27" s="2" t="s">
        <v>175</v>
      </c>
      <c r="D27" s="2" t="str">
        <f t="shared" si="0"/>
        <v>John</v>
      </c>
      <c r="E27" s="2" t="str">
        <f t="shared" si="1"/>
        <v>Smith</v>
      </c>
      <c r="F27" s="2"/>
      <c r="G27" s="2" t="s">
        <v>176</v>
      </c>
      <c r="H27" s="2" t="str">
        <f t="shared" si="2"/>
        <v>example.com</v>
      </c>
      <c r="I27" s="2" t="s">
        <v>5</v>
      </c>
    </row>
    <row r="28" spans="1:9">
      <c r="A28" s="2">
        <v>1014</v>
      </c>
      <c r="B28" s="2" t="s">
        <v>172</v>
      </c>
      <c r="C28" s="2" t="s">
        <v>179</v>
      </c>
      <c r="D28" s="2" t="str">
        <f t="shared" si="0"/>
        <v>John</v>
      </c>
      <c r="E28" s="2" t="str">
        <f t="shared" si="1"/>
        <v>Mlambo</v>
      </c>
      <c r="F28" s="2" t="str" cm="1">
        <f t="array" ref="F28">_xlfn.TEXTJOIN(", ",TRUE,IF(Sales_All!$D$2:$D$97=A28,Sales_All!$E$2:$E$97,""))</f>
        <v>Tablet, Monitor, Headphones</v>
      </c>
      <c r="G28" s="2" t="s">
        <v>180</v>
      </c>
      <c r="H28" s="2" t="str">
        <f t="shared" si="2"/>
        <v>example.com</v>
      </c>
      <c r="I28" s="2" t="s">
        <v>3</v>
      </c>
    </row>
    <row r="29" spans="1:9">
      <c r="A29" s="2">
        <v>1018</v>
      </c>
      <c r="B29" s="2" t="s">
        <v>157</v>
      </c>
      <c r="C29" s="2" t="s">
        <v>179</v>
      </c>
      <c r="D29" s="2" t="str">
        <f>PROPER(B29)</f>
        <v>Michael</v>
      </c>
      <c r="E29" s="2" t="str">
        <f t="shared" si="1"/>
        <v>Mlambo</v>
      </c>
      <c r="F29" s="2"/>
      <c r="G29" s="2" t="s">
        <v>183</v>
      </c>
      <c r="H29" s="2" t="str">
        <f t="shared" si="2"/>
        <v>example.com</v>
      </c>
      <c r="I29" s="2" t="s">
        <v>5</v>
      </c>
    </row>
  </sheetData>
  <conditionalFormatting sqref="D1:G29">
    <cfRule type="duplicateValues" dxfId="6"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E906-AC1C-4E9D-AD9B-F24C33B2E414}">
  <dimension ref="A1"/>
  <sheetViews>
    <sheetView workbookViewId="0">
      <selection activeCell="C7" sqref="C7"/>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Pivot 1_RevenueProfit</vt:lpstr>
      <vt:lpstr>Pivot2_CategoryProfit</vt:lpstr>
      <vt:lpstr>Pivot_Classification</vt:lpstr>
      <vt:lpstr>Pivot4_</vt:lpstr>
      <vt:lpstr>Dashboard</vt:lpstr>
      <vt:lpstr>Pivot_Top 5Products</vt:lpstr>
      <vt:lpstr>Sales_All</vt:lpstr>
      <vt:lpstr>Operations_Data</vt:lpstr>
      <vt:lpstr>Region_Summary</vt:lpstr>
      <vt:lpstr>Finance_Data</vt:lpstr>
      <vt:lpstr>Product_List</vt:lpstr>
      <vt:lpstr>Sheet1</vt:lpstr>
      <vt:lpstr>Customer_List</vt:lpstr>
      <vt:lpstr>Summary</vt:lpstr>
      <vt:lpstr>Accessories</vt:lpstr>
      <vt:lpstr>Electronic</vt:lpstr>
      <vt:lpstr>Office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Masi  Molemane</cp:lastModifiedBy>
  <cp:revision/>
  <dcterms:created xsi:type="dcterms:W3CDTF">2026-08-03T16:39:40Z</dcterms:created>
  <dcterms:modified xsi:type="dcterms:W3CDTF">2026-08-07T09:49:36Z</dcterms:modified>
  <cp:category/>
  <cp:contentStatus/>
</cp:coreProperties>
</file>